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shish\Internal TT 2025\"/>
    </mc:Choice>
  </mc:AlternateContent>
  <bookViews>
    <workbookView xWindow="-120" yWindow="-120" windowWidth="25245" windowHeight="12510" activeTab="1"/>
  </bookViews>
  <sheets>
    <sheet name="MS" sheetId="1" r:id="rId1"/>
    <sheet name="Sheet1" sheetId="6" r:id="rId2"/>
    <sheet name="MD" sheetId="2" r:id="rId3"/>
    <sheet name="Mixed" sheetId="3" r:id="rId4"/>
    <sheet name="WS" sheetId="4" r:id="rId5"/>
    <sheet name="WD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6" l="1"/>
  <c r="O24" i="6"/>
  <c r="O25" i="6"/>
  <c r="O26" i="6"/>
  <c r="O27" i="6"/>
  <c r="O28" i="6"/>
  <c r="O29" i="6"/>
  <c r="O22" i="6"/>
  <c r="H23" i="6"/>
  <c r="H24" i="6"/>
  <c r="H25" i="6"/>
  <c r="H26" i="6"/>
  <c r="H27" i="6"/>
  <c r="H28" i="6"/>
  <c r="H22" i="6"/>
</calcChain>
</file>

<file path=xl/sharedStrings.xml><?xml version="1.0" encoding="utf-8"?>
<sst xmlns="http://schemas.openxmlformats.org/spreadsheetml/2006/main" count="209" uniqueCount="172">
  <si>
    <t>------ GROUP - 1 -----</t>
  </si>
  <si>
    <t>--BYE--</t>
  </si>
  <si>
    <t>------ GROUP - 2 -----</t>
  </si>
  <si>
    <t>------ GROUP - 3 -----</t>
  </si>
  <si>
    <t>------ GROUP - 4 -----</t>
  </si>
  <si>
    <t>TT 2024 Mens doubles</t>
  </si>
  <si>
    <t>TT 2024 mixed</t>
  </si>
  <si>
    <t>TT 2024 women singles</t>
  </si>
  <si>
    <t>TT 2024 women doubles</t>
  </si>
  <si>
    <t>QF</t>
  </si>
  <si>
    <t>SF</t>
  </si>
  <si>
    <t>Finals</t>
  </si>
  <si>
    <t>Final</t>
  </si>
  <si>
    <t xml:space="preserve">Zoeb Jawed Syed (29401) </t>
  </si>
  <si>
    <t xml:space="preserve">Mahesh Takkalaki (9253) </t>
  </si>
  <si>
    <t xml:space="preserve">Harshad Madan Wani (23646) </t>
  </si>
  <si>
    <t xml:space="preserve">Aribumer Abed Khan (26030) </t>
  </si>
  <si>
    <t xml:space="preserve">Harsh Haresh Parwani (29415) </t>
  </si>
  <si>
    <t xml:space="preserve">Dinesh Pawar (17310) </t>
  </si>
  <si>
    <t xml:space="preserve">Akshay Mohan Dhengare (24811) </t>
  </si>
  <si>
    <t xml:space="preserve">Akash Babanrao Dongare (27371) </t>
  </si>
  <si>
    <t xml:space="preserve">Amey Guruprasad Shahane (21082) </t>
  </si>
  <si>
    <t xml:space="preserve">Rohit Kumar Singh (5451) </t>
  </si>
  <si>
    <t xml:space="preserve">Rudresh Kumar Singh (26153) </t>
  </si>
  <si>
    <t xml:space="preserve">Tanishq Bhargava (24414) </t>
  </si>
  <si>
    <t xml:space="preserve">Avinash Balasaheb Gaikwad (25474) </t>
  </si>
  <si>
    <t xml:space="preserve">Hrishikesh Shivaji Pate (23525) </t>
  </si>
  <si>
    <t xml:space="preserve">Manav Kamlesh Pandey (28814) </t>
  </si>
  <si>
    <t xml:space="preserve">Ranjitsinh Sureshrao Jagtap (26807) </t>
  </si>
  <si>
    <t xml:space="preserve">Uddhav Anant Powar (27742) </t>
  </si>
  <si>
    <t xml:space="preserve">Rupam Suryanarayan Pandey (27731) </t>
  </si>
  <si>
    <t xml:space="preserve">Mazhar Khan (7480) </t>
  </si>
  <si>
    <t xml:space="preserve">Tarun Mittal (27917) </t>
  </si>
  <si>
    <t xml:space="preserve">Rohan Dattaram Kalap (20312) </t>
  </si>
  <si>
    <t xml:space="preserve">Quayum Fahim Khan (25553) </t>
  </si>
  <si>
    <t xml:space="preserve">Mangesh Ankush Kapase (29157) </t>
  </si>
  <si>
    <t xml:space="preserve">Chandrashekhar Shyam Jadhav (23472) </t>
  </si>
  <si>
    <t xml:space="preserve">Kamlesh Radheshyam Dhakad (28886) </t>
  </si>
  <si>
    <t xml:space="preserve">Aditya Singh Chouhan (23136) </t>
  </si>
  <si>
    <t xml:space="preserve">Rahul Raghunath Chaudhari (23512) </t>
  </si>
  <si>
    <t xml:space="preserve">Anmol Kumar (28991) </t>
  </si>
  <si>
    <t xml:space="preserve">Anandkumar Motiprasad Sah (28871) </t>
  </si>
  <si>
    <t xml:space="preserve">Aniket Chandanshiv (11642) </t>
  </si>
  <si>
    <t xml:space="preserve">Ranadeep Ghosh (24176) </t>
  </si>
  <si>
    <t xml:space="preserve">Ashvin Soni (28330) </t>
  </si>
  <si>
    <t xml:space="preserve">Aditya Sanjay Agrawal (28868) </t>
  </si>
  <si>
    <t xml:space="preserve">Vedant Ramesh Kulkarni (27744) </t>
  </si>
  <si>
    <t xml:space="preserve">Majid Mohammednisar Siddiqui (26052) </t>
  </si>
  <si>
    <t xml:space="preserve">Reeteshkumar Jaiswal (26213) </t>
  </si>
  <si>
    <t xml:space="preserve">Vikrant Shankar Mahadik (29361) </t>
  </si>
  <si>
    <t xml:space="preserve">Prasad Gaikwad (5968) </t>
  </si>
  <si>
    <t xml:space="preserve">Raj Anil Mate (26072) </t>
  </si>
  <si>
    <t>Akash Shah (28112 )</t>
  </si>
  <si>
    <t xml:space="preserve">Abhishreshtha Garg (22659) </t>
  </si>
  <si>
    <t xml:space="preserve">Ashish Dattatraya Doke (29160) </t>
  </si>
  <si>
    <t xml:space="preserve">Madhur Pandey (13343) </t>
  </si>
  <si>
    <t xml:space="preserve">Ratish Mohan Ratusaria (1875) </t>
  </si>
  <si>
    <t xml:space="preserve">Prashant Bachate (9209) </t>
  </si>
  <si>
    <t xml:space="preserve">Shivdhan Dilip Bhilave (24891) </t>
  </si>
  <si>
    <t xml:space="preserve">Hrushikesh Vidyasagar Navale (25804) </t>
  </si>
  <si>
    <t xml:space="preserve">Mangesh Laxman Kamble (28768) </t>
  </si>
  <si>
    <t xml:space="preserve">Abhijit Ghosh (9019) </t>
  </si>
  <si>
    <t xml:space="preserve">Avadhoot Bhimrao Kharade (18521) </t>
  </si>
  <si>
    <t xml:space="preserve">Akash Sharad Wake (21640) </t>
  </si>
  <si>
    <t xml:space="preserve">Sunil Kumar (15279) </t>
  </si>
  <si>
    <t xml:space="preserve">Ajay Bansod (10418) </t>
  </si>
  <si>
    <t>Sandesh Magdum (18724)</t>
  </si>
  <si>
    <t>Maneesh Pathak (19242)</t>
  </si>
  <si>
    <t xml:space="preserve">Manali Santosh Jahagirdar (29481) </t>
  </si>
  <si>
    <t xml:space="preserve">Pratiksha Pralhad Suryawanshi (26198) </t>
  </si>
  <si>
    <t xml:space="preserve">Amruta Rajeev Adhyapak (25664) </t>
  </si>
  <si>
    <t xml:space="preserve">Shruti Deshmukh (18231) </t>
  </si>
  <si>
    <t xml:space="preserve">Ashwarya Ashok Shinde (26138) </t>
  </si>
  <si>
    <t xml:space="preserve">Manasvi Gautam Kombade (27720) </t>
  </si>
  <si>
    <t>Pratiksha Pralhad Suryawanshi (26198)  &amp; Amruta Rajeev Adhyapak(25664)</t>
  </si>
  <si>
    <t>Ashwarya Ashok Shinde (26138)  &amp; Manasvi Gautam Kombade(27720)</t>
  </si>
  <si>
    <t>Bye</t>
  </si>
  <si>
    <t>Pratiksha Pralhad Suryawanshi (26198)  &amp; Hrushikesh Vidyasagar Navale(25804)</t>
  </si>
  <si>
    <t>Mangesh Ankush Kapase (29157)  &amp; Megha Ramesh Bhat(23959)</t>
  </si>
  <si>
    <t>Tanishq Bhargava (24414)  &amp; Manali Santosh Jahagirdar(29481)</t>
  </si>
  <si>
    <t>Avinash Balasaheb Gaikwad (25474)  &amp; Nirmala Haridas Bhingare(29534)</t>
  </si>
  <si>
    <t>Abhishreshtha Garg (22659)  &amp; Shravni Jagtap</t>
  </si>
  <si>
    <t>Maneesh Pathak &amp;  Amruta Rajeev Adhyapak(25664)</t>
  </si>
  <si>
    <t>Harshad Madan Wani (23646)  &amp; Akarsh Salgotra(22802)</t>
  </si>
  <si>
    <t>Rahul Namdeo (23873)  &amp; Hrishikesh Shivaji Pate(23525)</t>
  </si>
  <si>
    <t>Tanishq Bhargava (24414)  &amp; Prashant Avinash Sorte(25752)</t>
  </si>
  <si>
    <t>Avinash Balasaheb Gaikwad (25474)  &amp; Sahil Kumar Marathe(27079)</t>
  </si>
  <si>
    <t>Suraj Santosh Bhadrike (22439)  &amp; Rahul Ananda Khot(23769)</t>
  </si>
  <si>
    <t>Abhishek Singh (23033)  &amp; Lipson Mathew Cherukarayalunkal(22009)</t>
  </si>
  <si>
    <t>Vikram Gulab Borkar (26654)  &amp; Akash Babanrao Dongare(27371)</t>
  </si>
  <si>
    <t>Ranjitsinh Sureshrao Jagtap (26807)  &amp; Shrikant Dnyaneshwar Chate(23527)</t>
  </si>
  <si>
    <t>Sumeet Rajendra Deshmukh (24512)  &amp; Majid Mohammednisar Siddiqui(26052)</t>
  </si>
  <si>
    <t>Chandrashekhar Shyam Jadhav (23472)  &amp; Ranadeep Ghosh(24176)</t>
  </si>
  <si>
    <t>Mangesh Ankush Kapase (29157)  &amp; Bhagyesh Govind Kulkarni(28333)</t>
  </si>
  <si>
    <t>Rohan Dattaram Kalap (20312)  &amp; Samarth Vedprakash Pahuja(29210)</t>
  </si>
  <si>
    <t>Tarun Mittal (27917)  &amp; Ashvin Soni(28330)</t>
  </si>
  <si>
    <t>Rupam Suryanarayan Pandey (27731)  &amp; Uddhav Anant Powar(27742)</t>
  </si>
  <si>
    <t>Mazhar Khan (7480)  &amp; Digvijay Subhash Gore(20850)</t>
  </si>
  <si>
    <t>Aniket Chandanshiv (11642)  &amp; Ankush Munishwar Uprikar(24283)</t>
  </si>
  <si>
    <t>Ankit Singh (29012)  &amp; Anuj Agrawal(26680)</t>
  </si>
  <si>
    <t>Vedant Ramesh Kulkarni (27744)  &amp; Aditya Sanjay Agrawal(28868)</t>
  </si>
  <si>
    <t>Prasad Gaikwad (5968)  &amp; Vishwas Borse(9577)</t>
  </si>
  <si>
    <t>Rohit Pandurang Ghadge (24611)  &amp; Ritikesh Subhash Chavan(27367)</t>
  </si>
  <si>
    <t>Hrishikesh Palshikar (13747)  &amp; Vipin Kumar Patel(4189)</t>
  </si>
  <si>
    <t>Pranay Dam (26145)  &amp; Rudresh Kumar Singh(26153)</t>
  </si>
  <si>
    <t>Raj Anil Mate (26072)  &amp; Shubham Kunal Dhagdhage(24628)</t>
  </si>
  <si>
    <t>Akash Shah (28112 ) &amp; Nilesh Deshmukh (17294)</t>
  </si>
  <si>
    <t>Abhishreshtha Garg (22659)  &amp; Ashish Dattatraya Doke(29160)</t>
  </si>
  <si>
    <t>Abhijit Ghosh (9019)  &amp; Akash Sharad Wake(21640)</t>
  </si>
  <si>
    <t>Ajay Bansod (10418)  &amp; Sandesh Shantikumar Magdum(18724)</t>
  </si>
  <si>
    <t>Maneesh Pathak (19242) &amp; Aditya Chauhan (23136)</t>
  </si>
  <si>
    <t>Avadhoot Bhimrao Kharade (18521)  &amp; Hrushikesh Vidyasagar Navale(25804)</t>
  </si>
  <si>
    <t>Madhur Pandey (13343)  &amp; Sunil Kumar(15279)</t>
  </si>
  <si>
    <t>TT 2024 Mens Singles</t>
  </si>
  <si>
    <t xml:space="preserve">Nilesh Deshmukh (17294) vs Ankit Singh (29012) </t>
  </si>
  <si>
    <t xml:space="preserve">Sanyam Santosh Doshi (26989) vs Abhishek Singh (23033) </t>
  </si>
  <si>
    <t xml:space="preserve">Vikram Gulab Borkar (26654) vs Kanchan Dhannulal Salampure (29701) </t>
  </si>
  <si>
    <t xml:space="preserve">Akeeb Ahmed Sayyed (29226) vs Kanchan Dhannulal Salampure (29701) </t>
  </si>
  <si>
    <t xml:space="preserve">Rahul Namdeo (23873) vs Sumeet Rajendra Deshmukh (24512) </t>
  </si>
  <si>
    <t>Floor</t>
  </si>
  <si>
    <t>Referee</t>
  </si>
  <si>
    <t>Abhishreshtha &amp;Tanishq</t>
  </si>
  <si>
    <t>CT2 - 3rd</t>
  </si>
  <si>
    <t xml:space="preserve">CT1- 4th </t>
  </si>
  <si>
    <t>Maneesh &amp; Shubham</t>
  </si>
  <si>
    <t>CT2 - 5th</t>
  </si>
  <si>
    <t>Madhur</t>
  </si>
  <si>
    <t xml:space="preserve">CT2 - 7th </t>
  </si>
  <si>
    <t>MS</t>
  </si>
  <si>
    <t>G4</t>
  </si>
  <si>
    <t>Shubham Kunal Dhagdhage (24628)</t>
  </si>
  <si>
    <t xml:space="preserve"> Samarjeet Anil Deshmukh (23465)  vs Pankaj Sanjay Jadhav</t>
  </si>
  <si>
    <t>G2</t>
  </si>
  <si>
    <t>G3</t>
  </si>
  <si>
    <t>G1</t>
  </si>
  <si>
    <t>Shivdhan</t>
  </si>
  <si>
    <t>Shubham Ashok Patil (28912) vs Chinmay Rele</t>
  </si>
  <si>
    <t>Chinmay Rele &amp; Manav Pandey</t>
  </si>
  <si>
    <t>Kamlesh Radheshyam Dhakad &amp; Sarita Abhay Bawankule(22839)</t>
  </si>
  <si>
    <t>Shivdhan Dilip Bhilave (24891)  &amp; Ratish Mohan</t>
  </si>
  <si>
    <t>Ashish Dattatraya Doke
vs 
Ratish Mohan Ratusaria</t>
  </si>
  <si>
    <t>Hrushikesh Vidyasagar Navale 
vs
Sandesh Magdum</t>
  </si>
  <si>
    <t xml:space="preserve">Avadhoot Bhimrao Kharade
vs
Shivdhan Dilip Bhilave  </t>
  </si>
  <si>
    <t>Ajay Bansod
vs 
Abhishreshtha Garg</t>
  </si>
  <si>
    <t>Time</t>
  </si>
  <si>
    <t>Matches</t>
  </si>
  <si>
    <t>4.30 PM</t>
  </si>
  <si>
    <t>5.00 PM</t>
  </si>
  <si>
    <t>5.30 PM</t>
  </si>
  <si>
    <t>Ankit Singh (29012)  &amp; Rita Ranjeet Mistry(29016) vs Ashwarya Ashok Shinde (26138)  &amp; Raj Anil Mate(26072)</t>
  </si>
  <si>
    <t>Maneesh</t>
  </si>
  <si>
    <t>Sr.No</t>
  </si>
  <si>
    <t>Referee Emp Code</t>
  </si>
  <si>
    <t>Referee Name</t>
  </si>
  <si>
    <t>Date</t>
  </si>
  <si>
    <t>Total Match Count</t>
  </si>
  <si>
    <t>Maneesh Pathak</t>
  </si>
  <si>
    <t>Madhur Pandey</t>
  </si>
  <si>
    <t>Shivshan Bhilave</t>
  </si>
  <si>
    <t>Abhishreshtha Garg</t>
  </si>
  <si>
    <t>Shuibham Dhagdhage</t>
  </si>
  <si>
    <t>Tanishq Bhargava</t>
  </si>
  <si>
    <t>Manav Pandey</t>
  </si>
  <si>
    <t>ms</t>
  </si>
  <si>
    <t>md</t>
  </si>
  <si>
    <t>xd</t>
  </si>
  <si>
    <t>Womens</t>
  </si>
  <si>
    <t>Shubham Dhagdhage</t>
  </si>
  <si>
    <t>Other</t>
  </si>
  <si>
    <t>Ashish Doke</t>
  </si>
  <si>
    <t>Total</t>
  </si>
  <si>
    <t>Total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</si>
</sst>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0" fontId="0" fillId="0" borderId="0" xfId="0" applyFill="1"/>
    <xf numFmtId="0" fontId="1" fillId="0" borderId="0" xfId="1" applyFill="1"/>
    <xf numFmtId="0" fontId="0" fillId="3" borderId="0" xfId="0" applyFill="1" applyBorder="1"/>
    <xf numFmtId="0" fontId="0" fillId="3" borderId="0" xfId="0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48F9E59-B31C-412F-B8F1-DA0821604435}"/>
            </a:ext>
          </a:extLst>
        </xdr:cNvPr>
        <xdr:cNvSpPr>
          <a:spLocks/>
        </xdr:cNvSpPr>
      </xdr:nvSpPr>
      <xdr:spPr bwMode="auto">
        <a:xfrm>
          <a:off x="649605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4BEB218-9C35-4911-92C7-65471B6E4288}"/>
            </a:ext>
          </a:extLst>
        </xdr:cNvPr>
        <xdr:cNvSpPr>
          <a:spLocks/>
        </xdr:cNvSpPr>
      </xdr:nvSpPr>
      <xdr:spPr bwMode="auto">
        <a:xfrm>
          <a:off x="649605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8</xdr:row>
      <xdr:rowOff>76200</xdr:rowOff>
    </xdr:from>
    <xdr:to>
      <xdr:col>2</xdr:col>
      <xdr:colOff>133350</xdr:colOff>
      <xdr:row>9</xdr:row>
      <xdr:rowOff>85725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95847D1-CE85-446C-8C15-35C2D9D29B18}"/>
            </a:ext>
          </a:extLst>
        </xdr:cNvPr>
        <xdr:cNvSpPr>
          <a:spLocks/>
        </xdr:cNvSpPr>
      </xdr:nvSpPr>
      <xdr:spPr bwMode="auto">
        <a:xfrm>
          <a:off x="6496050" y="153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10</xdr:row>
      <xdr:rowOff>76200</xdr:rowOff>
    </xdr:from>
    <xdr:to>
      <xdr:col>2</xdr:col>
      <xdr:colOff>133350</xdr:colOff>
      <xdr:row>11</xdr:row>
      <xdr:rowOff>85725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00DC5A4-812E-4AB0-B681-5D0BED3996ED}"/>
            </a:ext>
          </a:extLst>
        </xdr:cNvPr>
        <xdr:cNvSpPr>
          <a:spLocks/>
        </xdr:cNvSpPr>
      </xdr:nvSpPr>
      <xdr:spPr bwMode="auto">
        <a:xfrm>
          <a:off x="6496050" y="19050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</xdr:row>
      <xdr:rowOff>76200</xdr:rowOff>
    </xdr:from>
    <xdr:to>
      <xdr:col>2</xdr:col>
      <xdr:colOff>133350</xdr:colOff>
      <xdr:row>14</xdr:row>
      <xdr:rowOff>85725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EC7EADC-289D-40E9-B678-4E9DF3A86E8C}"/>
            </a:ext>
          </a:extLst>
        </xdr:cNvPr>
        <xdr:cNvSpPr>
          <a:spLocks/>
        </xdr:cNvSpPr>
      </xdr:nvSpPr>
      <xdr:spPr bwMode="auto">
        <a:xfrm>
          <a:off x="6496050" y="24536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</xdr:row>
      <xdr:rowOff>76200</xdr:rowOff>
    </xdr:from>
    <xdr:to>
      <xdr:col>2</xdr:col>
      <xdr:colOff>133350</xdr:colOff>
      <xdr:row>16</xdr:row>
      <xdr:rowOff>85725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D4EF05F-F1C0-4CCA-993F-A0DC3EBB3C88}"/>
            </a:ext>
          </a:extLst>
        </xdr:cNvPr>
        <xdr:cNvSpPr>
          <a:spLocks/>
        </xdr:cNvSpPr>
      </xdr:nvSpPr>
      <xdr:spPr bwMode="auto">
        <a:xfrm>
          <a:off x="6496050" y="28194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17</xdr:row>
      <xdr:rowOff>76200</xdr:rowOff>
    </xdr:from>
    <xdr:to>
      <xdr:col>2</xdr:col>
      <xdr:colOff>133350</xdr:colOff>
      <xdr:row>18</xdr:row>
      <xdr:rowOff>85725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59088416-0F6B-4C30-8916-31C7836E1B61}"/>
            </a:ext>
          </a:extLst>
        </xdr:cNvPr>
        <xdr:cNvSpPr>
          <a:spLocks/>
        </xdr:cNvSpPr>
      </xdr:nvSpPr>
      <xdr:spPr bwMode="auto">
        <a:xfrm>
          <a:off x="6496050" y="31851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19</xdr:row>
      <xdr:rowOff>76200</xdr:rowOff>
    </xdr:from>
    <xdr:to>
      <xdr:col>2</xdr:col>
      <xdr:colOff>133350</xdr:colOff>
      <xdr:row>20</xdr:row>
      <xdr:rowOff>85725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D47D2963-220D-4C15-81E9-418726507DEE}"/>
            </a:ext>
          </a:extLst>
        </xdr:cNvPr>
        <xdr:cNvSpPr>
          <a:spLocks/>
        </xdr:cNvSpPr>
      </xdr:nvSpPr>
      <xdr:spPr bwMode="auto">
        <a:xfrm>
          <a:off x="6496050" y="35509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24</xdr:row>
      <xdr:rowOff>76200</xdr:rowOff>
    </xdr:from>
    <xdr:to>
      <xdr:col>2</xdr:col>
      <xdr:colOff>133350</xdr:colOff>
      <xdr:row>25</xdr:row>
      <xdr:rowOff>85725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F0C99CD-8575-4622-BBB4-41E04051E012}"/>
            </a:ext>
          </a:extLst>
        </xdr:cNvPr>
        <xdr:cNvSpPr>
          <a:spLocks/>
        </xdr:cNvSpPr>
      </xdr:nvSpPr>
      <xdr:spPr bwMode="auto">
        <a:xfrm>
          <a:off x="6496050" y="44653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26</xdr:row>
      <xdr:rowOff>76200</xdr:rowOff>
    </xdr:from>
    <xdr:to>
      <xdr:col>2</xdr:col>
      <xdr:colOff>133350</xdr:colOff>
      <xdr:row>27</xdr:row>
      <xdr:rowOff>85725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295D0E24-0EE4-4AAF-8E01-502A8899D803}"/>
            </a:ext>
          </a:extLst>
        </xdr:cNvPr>
        <xdr:cNvSpPr>
          <a:spLocks/>
        </xdr:cNvSpPr>
      </xdr:nvSpPr>
      <xdr:spPr bwMode="auto">
        <a:xfrm>
          <a:off x="6496050" y="48310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28</xdr:row>
      <xdr:rowOff>76200</xdr:rowOff>
    </xdr:from>
    <xdr:to>
      <xdr:col>2</xdr:col>
      <xdr:colOff>133350</xdr:colOff>
      <xdr:row>29</xdr:row>
      <xdr:rowOff>85725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58A205C1-1EED-4E6B-9F22-00D156F5CD56}"/>
            </a:ext>
          </a:extLst>
        </xdr:cNvPr>
        <xdr:cNvSpPr>
          <a:spLocks/>
        </xdr:cNvSpPr>
      </xdr:nvSpPr>
      <xdr:spPr bwMode="auto">
        <a:xfrm>
          <a:off x="6496050" y="5196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30</xdr:row>
      <xdr:rowOff>76200</xdr:rowOff>
    </xdr:from>
    <xdr:to>
      <xdr:col>2</xdr:col>
      <xdr:colOff>133350</xdr:colOff>
      <xdr:row>31</xdr:row>
      <xdr:rowOff>85725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63E6DCA4-33C8-4228-9547-2A11B3F382CD}"/>
            </a:ext>
          </a:extLst>
        </xdr:cNvPr>
        <xdr:cNvSpPr>
          <a:spLocks/>
        </xdr:cNvSpPr>
      </xdr:nvSpPr>
      <xdr:spPr bwMode="auto">
        <a:xfrm>
          <a:off x="6496050" y="55626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33</xdr:row>
      <xdr:rowOff>76200</xdr:rowOff>
    </xdr:from>
    <xdr:to>
      <xdr:col>2</xdr:col>
      <xdr:colOff>133350</xdr:colOff>
      <xdr:row>34</xdr:row>
      <xdr:rowOff>85725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22A0177-317D-4A7B-A1C4-A64866202E04}"/>
            </a:ext>
          </a:extLst>
        </xdr:cNvPr>
        <xdr:cNvSpPr>
          <a:spLocks/>
        </xdr:cNvSpPr>
      </xdr:nvSpPr>
      <xdr:spPr bwMode="auto">
        <a:xfrm>
          <a:off x="6496050" y="6111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35</xdr:row>
      <xdr:rowOff>76200</xdr:rowOff>
    </xdr:from>
    <xdr:to>
      <xdr:col>2</xdr:col>
      <xdr:colOff>133350</xdr:colOff>
      <xdr:row>36</xdr:row>
      <xdr:rowOff>85725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9C3C82DE-069E-43A6-B6FC-E732190DE0F7}"/>
            </a:ext>
          </a:extLst>
        </xdr:cNvPr>
        <xdr:cNvSpPr>
          <a:spLocks/>
        </xdr:cNvSpPr>
      </xdr:nvSpPr>
      <xdr:spPr bwMode="auto">
        <a:xfrm>
          <a:off x="6496050" y="64770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37</xdr:row>
      <xdr:rowOff>76200</xdr:rowOff>
    </xdr:from>
    <xdr:to>
      <xdr:col>2</xdr:col>
      <xdr:colOff>133350</xdr:colOff>
      <xdr:row>38</xdr:row>
      <xdr:rowOff>85725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4EEFAC1C-4F52-4A91-8115-ADAD085B5970}"/>
            </a:ext>
          </a:extLst>
        </xdr:cNvPr>
        <xdr:cNvSpPr>
          <a:spLocks/>
        </xdr:cNvSpPr>
      </xdr:nvSpPr>
      <xdr:spPr bwMode="auto">
        <a:xfrm>
          <a:off x="6496050" y="68427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39</xdr:row>
      <xdr:rowOff>76200</xdr:rowOff>
    </xdr:from>
    <xdr:to>
      <xdr:col>2</xdr:col>
      <xdr:colOff>133350</xdr:colOff>
      <xdr:row>40</xdr:row>
      <xdr:rowOff>85725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4BCB7CE0-F0BB-4E68-AAFA-7157BBBE9D04}"/>
            </a:ext>
          </a:extLst>
        </xdr:cNvPr>
        <xdr:cNvSpPr>
          <a:spLocks/>
        </xdr:cNvSpPr>
      </xdr:nvSpPr>
      <xdr:spPr bwMode="auto">
        <a:xfrm>
          <a:off x="6496050" y="72085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44</xdr:row>
      <xdr:rowOff>76200</xdr:rowOff>
    </xdr:from>
    <xdr:to>
      <xdr:col>2</xdr:col>
      <xdr:colOff>133350</xdr:colOff>
      <xdr:row>45</xdr:row>
      <xdr:rowOff>85725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2715870-E4A4-4287-AC69-4F77F102338B}"/>
            </a:ext>
          </a:extLst>
        </xdr:cNvPr>
        <xdr:cNvSpPr>
          <a:spLocks/>
        </xdr:cNvSpPr>
      </xdr:nvSpPr>
      <xdr:spPr bwMode="auto">
        <a:xfrm>
          <a:off x="6496050" y="81229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46</xdr:row>
      <xdr:rowOff>76200</xdr:rowOff>
    </xdr:from>
    <xdr:to>
      <xdr:col>2</xdr:col>
      <xdr:colOff>133350</xdr:colOff>
      <xdr:row>47</xdr:row>
      <xdr:rowOff>85725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3A41DC93-F8BE-437F-8E6A-553ED38191E0}"/>
            </a:ext>
          </a:extLst>
        </xdr:cNvPr>
        <xdr:cNvSpPr>
          <a:spLocks/>
        </xdr:cNvSpPr>
      </xdr:nvSpPr>
      <xdr:spPr bwMode="auto">
        <a:xfrm>
          <a:off x="6496050" y="84886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48</xdr:row>
      <xdr:rowOff>76200</xdr:rowOff>
    </xdr:from>
    <xdr:to>
      <xdr:col>2</xdr:col>
      <xdr:colOff>133350</xdr:colOff>
      <xdr:row>49</xdr:row>
      <xdr:rowOff>85725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9840825C-9A52-4D4B-8662-57E581FF5E40}"/>
            </a:ext>
          </a:extLst>
        </xdr:cNvPr>
        <xdr:cNvSpPr>
          <a:spLocks/>
        </xdr:cNvSpPr>
      </xdr:nvSpPr>
      <xdr:spPr bwMode="auto">
        <a:xfrm>
          <a:off x="6496050" y="88544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50</xdr:row>
      <xdr:rowOff>76200</xdr:rowOff>
    </xdr:from>
    <xdr:to>
      <xdr:col>2</xdr:col>
      <xdr:colOff>133350</xdr:colOff>
      <xdr:row>51</xdr:row>
      <xdr:rowOff>85725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9E41A98A-DE2E-4CAE-8291-E034FEDAB5BC}"/>
            </a:ext>
          </a:extLst>
        </xdr:cNvPr>
        <xdr:cNvSpPr>
          <a:spLocks/>
        </xdr:cNvSpPr>
      </xdr:nvSpPr>
      <xdr:spPr bwMode="auto">
        <a:xfrm>
          <a:off x="6496050" y="92202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53</xdr:row>
      <xdr:rowOff>76200</xdr:rowOff>
    </xdr:from>
    <xdr:to>
      <xdr:col>2</xdr:col>
      <xdr:colOff>133350</xdr:colOff>
      <xdr:row>54</xdr:row>
      <xdr:rowOff>85725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CD95A95-DD6F-4E42-A45A-B49551A698DD}"/>
            </a:ext>
          </a:extLst>
        </xdr:cNvPr>
        <xdr:cNvSpPr>
          <a:spLocks/>
        </xdr:cNvSpPr>
      </xdr:nvSpPr>
      <xdr:spPr bwMode="auto">
        <a:xfrm>
          <a:off x="6496050" y="9768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55</xdr:row>
      <xdr:rowOff>76200</xdr:rowOff>
    </xdr:from>
    <xdr:to>
      <xdr:col>2</xdr:col>
      <xdr:colOff>133350</xdr:colOff>
      <xdr:row>56</xdr:row>
      <xdr:rowOff>85725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7E2028BD-2C10-4E1B-8C90-FC847DEA6652}"/>
            </a:ext>
          </a:extLst>
        </xdr:cNvPr>
        <xdr:cNvSpPr>
          <a:spLocks/>
        </xdr:cNvSpPr>
      </xdr:nvSpPr>
      <xdr:spPr bwMode="auto">
        <a:xfrm>
          <a:off x="6496050" y="101346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57</xdr:row>
      <xdr:rowOff>76200</xdr:rowOff>
    </xdr:from>
    <xdr:to>
      <xdr:col>2</xdr:col>
      <xdr:colOff>133350</xdr:colOff>
      <xdr:row>58</xdr:row>
      <xdr:rowOff>85725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35C35F66-6330-480C-8A71-937F5A78D14D}"/>
            </a:ext>
          </a:extLst>
        </xdr:cNvPr>
        <xdr:cNvSpPr>
          <a:spLocks/>
        </xdr:cNvSpPr>
      </xdr:nvSpPr>
      <xdr:spPr bwMode="auto">
        <a:xfrm>
          <a:off x="6496050" y="105003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59</xdr:row>
      <xdr:rowOff>76200</xdr:rowOff>
    </xdr:from>
    <xdr:to>
      <xdr:col>2</xdr:col>
      <xdr:colOff>133350</xdr:colOff>
      <xdr:row>60</xdr:row>
      <xdr:rowOff>85725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AAEE924D-0A1E-4FE5-9B6D-7EDF6DB8D257}"/>
            </a:ext>
          </a:extLst>
        </xdr:cNvPr>
        <xdr:cNvSpPr>
          <a:spLocks/>
        </xdr:cNvSpPr>
      </xdr:nvSpPr>
      <xdr:spPr bwMode="auto">
        <a:xfrm>
          <a:off x="6496050" y="108661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64</xdr:row>
      <xdr:rowOff>76200</xdr:rowOff>
    </xdr:from>
    <xdr:to>
      <xdr:col>2</xdr:col>
      <xdr:colOff>133350</xdr:colOff>
      <xdr:row>65</xdr:row>
      <xdr:rowOff>85725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0DE345A-D016-4314-9E8A-A78B201FEE58}"/>
            </a:ext>
          </a:extLst>
        </xdr:cNvPr>
        <xdr:cNvSpPr>
          <a:spLocks/>
        </xdr:cNvSpPr>
      </xdr:nvSpPr>
      <xdr:spPr bwMode="auto">
        <a:xfrm>
          <a:off x="6496050" y="117805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66</xdr:row>
      <xdr:rowOff>76200</xdr:rowOff>
    </xdr:from>
    <xdr:to>
      <xdr:col>2</xdr:col>
      <xdr:colOff>133350</xdr:colOff>
      <xdr:row>67</xdr:row>
      <xdr:rowOff>85725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DD46770-9E0D-4755-BE27-C2A1DC3B9DA2}"/>
            </a:ext>
          </a:extLst>
        </xdr:cNvPr>
        <xdr:cNvSpPr>
          <a:spLocks/>
        </xdr:cNvSpPr>
      </xdr:nvSpPr>
      <xdr:spPr bwMode="auto">
        <a:xfrm>
          <a:off x="6496050" y="121462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68</xdr:row>
      <xdr:rowOff>76200</xdr:rowOff>
    </xdr:from>
    <xdr:to>
      <xdr:col>2</xdr:col>
      <xdr:colOff>133350</xdr:colOff>
      <xdr:row>69</xdr:row>
      <xdr:rowOff>85725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BF5D6336-E73F-420D-8196-96B1EFC56849}"/>
            </a:ext>
          </a:extLst>
        </xdr:cNvPr>
        <xdr:cNvSpPr>
          <a:spLocks/>
        </xdr:cNvSpPr>
      </xdr:nvSpPr>
      <xdr:spPr bwMode="auto">
        <a:xfrm>
          <a:off x="6496050" y="125120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70</xdr:row>
      <xdr:rowOff>76200</xdr:rowOff>
    </xdr:from>
    <xdr:to>
      <xdr:col>2</xdr:col>
      <xdr:colOff>133350</xdr:colOff>
      <xdr:row>71</xdr:row>
      <xdr:rowOff>85725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B3DCE725-D40B-4CCD-A431-B32D8D05A265}"/>
            </a:ext>
          </a:extLst>
        </xdr:cNvPr>
        <xdr:cNvSpPr>
          <a:spLocks/>
        </xdr:cNvSpPr>
      </xdr:nvSpPr>
      <xdr:spPr bwMode="auto">
        <a:xfrm>
          <a:off x="6496050" y="128778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73</xdr:row>
      <xdr:rowOff>76200</xdr:rowOff>
    </xdr:from>
    <xdr:to>
      <xdr:col>2</xdr:col>
      <xdr:colOff>133350</xdr:colOff>
      <xdr:row>74</xdr:row>
      <xdr:rowOff>85725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FF6D5A4-6A25-4CB1-8993-0FF52AF8D53B}"/>
            </a:ext>
          </a:extLst>
        </xdr:cNvPr>
        <xdr:cNvSpPr>
          <a:spLocks/>
        </xdr:cNvSpPr>
      </xdr:nvSpPr>
      <xdr:spPr bwMode="auto">
        <a:xfrm>
          <a:off x="6496050" y="134264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75</xdr:row>
      <xdr:rowOff>76200</xdr:rowOff>
    </xdr:from>
    <xdr:to>
      <xdr:col>2</xdr:col>
      <xdr:colOff>133350</xdr:colOff>
      <xdr:row>76</xdr:row>
      <xdr:rowOff>85725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CBBAFC37-6DF9-4117-9B63-034999F15AEE}"/>
            </a:ext>
          </a:extLst>
        </xdr:cNvPr>
        <xdr:cNvSpPr>
          <a:spLocks/>
        </xdr:cNvSpPr>
      </xdr:nvSpPr>
      <xdr:spPr bwMode="auto">
        <a:xfrm>
          <a:off x="6496050" y="137922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77</xdr:row>
      <xdr:rowOff>76200</xdr:rowOff>
    </xdr:from>
    <xdr:to>
      <xdr:col>2</xdr:col>
      <xdr:colOff>133350</xdr:colOff>
      <xdr:row>78</xdr:row>
      <xdr:rowOff>85725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15101B8A-A5D5-42F2-BBBC-0EF16E1A7F19}"/>
            </a:ext>
          </a:extLst>
        </xdr:cNvPr>
        <xdr:cNvSpPr>
          <a:spLocks/>
        </xdr:cNvSpPr>
      </xdr:nvSpPr>
      <xdr:spPr bwMode="auto">
        <a:xfrm>
          <a:off x="6496050" y="141579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79</xdr:row>
      <xdr:rowOff>76200</xdr:rowOff>
    </xdr:from>
    <xdr:to>
      <xdr:col>2</xdr:col>
      <xdr:colOff>133350</xdr:colOff>
      <xdr:row>80</xdr:row>
      <xdr:rowOff>85725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F908EA1F-79FD-4B8F-AE58-B5A6AACE1187}"/>
            </a:ext>
          </a:extLst>
        </xdr:cNvPr>
        <xdr:cNvSpPr>
          <a:spLocks/>
        </xdr:cNvSpPr>
      </xdr:nvSpPr>
      <xdr:spPr bwMode="auto">
        <a:xfrm>
          <a:off x="6496050" y="145237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124</xdr:row>
      <xdr:rowOff>76200</xdr:rowOff>
    </xdr:from>
    <xdr:to>
      <xdr:col>2</xdr:col>
      <xdr:colOff>133350</xdr:colOff>
      <xdr:row>125</xdr:row>
      <xdr:rowOff>85725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48630AC-47EC-497D-91CC-8987DE438FE6}"/>
            </a:ext>
          </a:extLst>
        </xdr:cNvPr>
        <xdr:cNvSpPr>
          <a:spLocks/>
        </xdr:cNvSpPr>
      </xdr:nvSpPr>
      <xdr:spPr bwMode="auto">
        <a:xfrm>
          <a:off x="6496050" y="227533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126</xdr:row>
      <xdr:rowOff>76200</xdr:rowOff>
    </xdr:from>
    <xdr:to>
      <xdr:col>2</xdr:col>
      <xdr:colOff>133350</xdr:colOff>
      <xdr:row>127</xdr:row>
      <xdr:rowOff>85725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47B323BF-B1AC-4788-83C1-4462B5988CFA}"/>
            </a:ext>
          </a:extLst>
        </xdr:cNvPr>
        <xdr:cNvSpPr>
          <a:spLocks/>
        </xdr:cNvSpPr>
      </xdr:nvSpPr>
      <xdr:spPr bwMode="auto">
        <a:xfrm>
          <a:off x="6496050" y="231190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128</xdr:row>
      <xdr:rowOff>76200</xdr:rowOff>
    </xdr:from>
    <xdr:to>
      <xdr:col>2</xdr:col>
      <xdr:colOff>133350</xdr:colOff>
      <xdr:row>129</xdr:row>
      <xdr:rowOff>85725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814D47B6-8FD8-4993-ABC7-FCF70F2F1F57}"/>
            </a:ext>
          </a:extLst>
        </xdr:cNvPr>
        <xdr:cNvSpPr>
          <a:spLocks/>
        </xdr:cNvSpPr>
      </xdr:nvSpPr>
      <xdr:spPr bwMode="auto">
        <a:xfrm>
          <a:off x="6496050" y="23484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130</xdr:row>
      <xdr:rowOff>76200</xdr:rowOff>
    </xdr:from>
    <xdr:to>
      <xdr:col>2</xdr:col>
      <xdr:colOff>133350</xdr:colOff>
      <xdr:row>131</xdr:row>
      <xdr:rowOff>85725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9B4A359F-F85E-432B-AD95-8A5B85661698}"/>
            </a:ext>
          </a:extLst>
        </xdr:cNvPr>
        <xdr:cNvSpPr>
          <a:spLocks/>
        </xdr:cNvSpPr>
      </xdr:nvSpPr>
      <xdr:spPr bwMode="auto">
        <a:xfrm>
          <a:off x="6496050" y="238506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133</xdr:row>
      <xdr:rowOff>76200</xdr:rowOff>
    </xdr:from>
    <xdr:to>
      <xdr:col>2</xdr:col>
      <xdr:colOff>133350</xdr:colOff>
      <xdr:row>134</xdr:row>
      <xdr:rowOff>85725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5A33BE35-637F-4366-9EB3-B7F02E94F614}"/>
            </a:ext>
          </a:extLst>
        </xdr:cNvPr>
        <xdr:cNvSpPr>
          <a:spLocks/>
        </xdr:cNvSpPr>
      </xdr:nvSpPr>
      <xdr:spPr bwMode="auto">
        <a:xfrm>
          <a:off x="6496050" y="2439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135</xdr:row>
      <xdr:rowOff>76200</xdr:rowOff>
    </xdr:from>
    <xdr:to>
      <xdr:col>2</xdr:col>
      <xdr:colOff>133350</xdr:colOff>
      <xdr:row>136</xdr:row>
      <xdr:rowOff>85725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9F74AC00-6CE5-4AF0-A790-041D0F218AE3}"/>
            </a:ext>
          </a:extLst>
        </xdr:cNvPr>
        <xdr:cNvSpPr>
          <a:spLocks/>
        </xdr:cNvSpPr>
      </xdr:nvSpPr>
      <xdr:spPr bwMode="auto">
        <a:xfrm>
          <a:off x="6496050" y="247650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137</xdr:row>
      <xdr:rowOff>76200</xdr:rowOff>
    </xdr:from>
    <xdr:to>
      <xdr:col>2</xdr:col>
      <xdr:colOff>133350</xdr:colOff>
      <xdr:row>138</xdr:row>
      <xdr:rowOff>85725</xdr:rowOff>
    </xdr:to>
    <xdr:sp macro="" textlink="">
      <xdr:nvSpPr>
        <xdr:cNvPr id="56" name="AutoShape 3">
          <a:extLst>
            <a:ext uri="{FF2B5EF4-FFF2-40B4-BE49-F238E27FC236}">
              <a16:creationId xmlns:a16="http://schemas.microsoft.com/office/drawing/2014/main" id="{FFCA49F7-626A-4791-A0A6-915D2C3209A0}"/>
            </a:ext>
          </a:extLst>
        </xdr:cNvPr>
        <xdr:cNvSpPr>
          <a:spLocks/>
        </xdr:cNvSpPr>
      </xdr:nvSpPr>
      <xdr:spPr bwMode="auto">
        <a:xfrm>
          <a:off x="6496050" y="251307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139</xdr:row>
      <xdr:rowOff>76200</xdr:rowOff>
    </xdr:from>
    <xdr:to>
      <xdr:col>2</xdr:col>
      <xdr:colOff>133350</xdr:colOff>
      <xdr:row>140</xdr:row>
      <xdr:rowOff>85725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3C488A43-AD0C-4C6C-B4E0-4A98B38D2760}"/>
            </a:ext>
          </a:extLst>
        </xdr:cNvPr>
        <xdr:cNvSpPr>
          <a:spLocks/>
        </xdr:cNvSpPr>
      </xdr:nvSpPr>
      <xdr:spPr bwMode="auto">
        <a:xfrm>
          <a:off x="6496050" y="254965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144</xdr:row>
      <xdr:rowOff>76200</xdr:rowOff>
    </xdr:from>
    <xdr:to>
      <xdr:col>2</xdr:col>
      <xdr:colOff>133350</xdr:colOff>
      <xdr:row>145</xdr:row>
      <xdr:rowOff>85725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96690176-ADB2-4A1C-8932-EC8F964A52D7}"/>
            </a:ext>
          </a:extLst>
        </xdr:cNvPr>
        <xdr:cNvSpPr>
          <a:spLocks/>
        </xdr:cNvSpPr>
      </xdr:nvSpPr>
      <xdr:spPr bwMode="auto">
        <a:xfrm>
          <a:off x="6496050" y="264109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146</xdr:row>
      <xdr:rowOff>76200</xdr:rowOff>
    </xdr:from>
    <xdr:to>
      <xdr:col>2</xdr:col>
      <xdr:colOff>133350</xdr:colOff>
      <xdr:row>147</xdr:row>
      <xdr:rowOff>85725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F9E65F00-7C74-4D32-A370-5820748F65A8}"/>
            </a:ext>
          </a:extLst>
        </xdr:cNvPr>
        <xdr:cNvSpPr>
          <a:spLocks/>
        </xdr:cNvSpPr>
      </xdr:nvSpPr>
      <xdr:spPr bwMode="auto">
        <a:xfrm>
          <a:off x="6496050" y="267766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148</xdr:row>
      <xdr:rowOff>76200</xdr:rowOff>
    </xdr:from>
    <xdr:to>
      <xdr:col>2</xdr:col>
      <xdr:colOff>133350</xdr:colOff>
      <xdr:row>149</xdr:row>
      <xdr:rowOff>85725</xdr:rowOff>
    </xdr:to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7B1C0DB4-CA21-47DE-A3F1-90625E4F9BE2}"/>
            </a:ext>
          </a:extLst>
        </xdr:cNvPr>
        <xdr:cNvSpPr>
          <a:spLocks/>
        </xdr:cNvSpPr>
      </xdr:nvSpPr>
      <xdr:spPr bwMode="auto">
        <a:xfrm>
          <a:off x="6496050" y="271424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150</xdr:row>
      <xdr:rowOff>76200</xdr:rowOff>
    </xdr:from>
    <xdr:to>
      <xdr:col>2</xdr:col>
      <xdr:colOff>133350</xdr:colOff>
      <xdr:row>151</xdr:row>
      <xdr:rowOff>85725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E18BB663-DBC5-4023-8D53-BEDF2BC3AB75}"/>
            </a:ext>
          </a:extLst>
        </xdr:cNvPr>
        <xdr:cNvSpPr>
          <a:spLocks/>
        </xdr:cNvSpPr>
      </xdr:nvSpPr>
      <xdr:spPr bwMode="auto">
        <a:xfrm>
          <a:off x="6496050" y="275082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153</xdr:row>
      <xdr:rowOff>76200</xdr:rowOff>
    </xdr:from>
    <xdr:to>
      <xdr:col>2</xdr:col>
      <xdr:colOff>133350</xdr:colOff>
      <xdr:row>154</xdr:row>
      <xdr:rowOff>85725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13DBEFC-3B6B-4CFE-BC70-8763395AEA8C}"/>
            </a:ext>
          </a:extLst>
        </xdr:cNvPr>
        <xdr:cNvSpPr>
          <a:spLocks/>
        </xdr:cNvSpPr>
      </xdr:nvSpPr>
      <xdr:spPr bwMode="auto">
        <a:xfrm>
          <a:off x="6496050" y="28056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155</xdr:row>
      <xdr:rowOff>76200</xdr:rowOff>
    </xdr:from>
    <xdr:to>
      <xdr:col>2</xdr:col>
      <xdr:colOff>133350</xdr:colOff>
      <xdr:row>156</xdr:row>
      <xdr:rowOff>85725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D17A4BD0-4F2A-4813-9C93-94D2B4DA4644}"/>
            </a:ext>
          </a:extLst>
        </xdr:cNvPr>
        <xdr:cNvSpPr>
          <a:spLocks/>
        </xdr:cNvSpPr>
      </xdr:nvSpPr>
      <xdr:spPr bwMode="auto">
        <a:xfrm>
          <a:off x="6496050" y="284226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157</xdr:row>
      <xdr:rowOff>76200</xdr:rowOff>
    </xdr:from>
    <xdr:to>
      <xdr:col>2</xdr:col>
      <xdr:colOff>133350</xdr:colOff>
      <xdr:row>158</xdr:row>
      <xdr:rowOff>85725</xdr:rowOff>
    </xdr:to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D2361717-953F-43AC-9E1B-37AF2110DED7}"/>
            </a:ext>
          </a:extLst>
        </xdr:cNvPr>
        <xdr:cNvSpPr>
          <a:spLocks/>
        </xdr:cNvSpPr>
      </xdr:nvSpPr>
      <xdr:spPr bwMode="auto">
        <a:xfrm>
          <a:off x="6496050" y="287883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159</xdr:row>
      <xdr:rowOff>76200</xdr:rowOff>
    </xdr:from>
    <xdr:to>
      <xdr:col>2</xdr:col>
      <xdr:colOff>133350</xdr:colOff>
      <xdr:row>160</xdr:row>
      <xdr:rowOff>85725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DE4E55E3-9A78-4CA4-823D-0DC3C4D2C9F0}"/>
            </a:ext>
          </a:extLst>
        </xdr:cNvPr>
        <xdr:cNvSpPr>
          <a:spLocks/>
        </xdr:cNvSpPr>
      </xdr:nvSpPr>
      <xdr:spPr bwMode="auto">
        <a:xfrm>
          <a:off x="6496050" y="291541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4</xdr:row>
      <xdr:rowOff>109538</xdr:rowOff>
    </xdr:from>
    <xdr:to>
      <xdr:col>4</xdr:col>
      <xdr:colOff>238125</xdr:colOff>
      <xdr:row>6</xdr:row>
      <xdr:rowOff>138113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C748396D-ABD3-4150-8729-5402E563CFF0}"/>
            </a:ext>
          </a:extLst>
        </xdr:cNvPr>
        <xdr:cNvSpPr>
          <a:spLocks/>
        </xdr:cNvSpPr>
      </xdr:nvSpPr>
      <xdr:spPr bwMode="auto">
        <a:xfrm>
          <a:off x="780097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8</xdr:row>
      <xdr:rowOff>119063</xdr:rowOff>
    </xdr:from>
    <xdr:to>
      <xdr:col>4</xdr:col>
      <xdr:colOff>238125</xdr:colOff>
      <xdr:row>10</xdr:row>
      <xdr:rowOff>147638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F1649BCA-B722-4CF6-8FD9-522EED7B0E7D}"/>
            </a:ext>
          </a:extLst>
        </xdr:cNvPr>
        <xdr:cNvSpPr>
          <a:spLocks/>
        </xdr:cNvSpPr>
      </xdr:nvSpPr>
      <xdr:spPr bwMode="auto">
        <a:xfrm>
          <a:off x="7800975" y="158210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13</xdr:row>
      <xdr:rowOff>109538</xdr:rowOff>
    </xdr:from>
    <xdr:to>
      <xdr:col>4</xdr:col>
      <xdr:colOff>238125</xdr:colOff>
      <xdr:row>15</xdr:row>
      <xdr:rowOff>138113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61398E5-F534-44B1-A916-436DC11E1448}"/>
            </a:ext>
          </a:extLst>
        </xdr:cNvPr>
        <xdr:cNvSpPr>
          <a:spLocks/>
        </xdr:cNvSpPr>
      </xdr:nvSpPr>
      <xdr:spPr bwMode="auto">
        <a:xfrm>
          <a:off x="7800975" y="248697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17</xdr:row>
      <xdr:rowOff>119063</xdr:rowOff>
    </xdr:from>
    <xdr:to>
      <xdr:col>4</xdr:col>
      <xdr:colOff>238125</xdr:colOff>
      <xdr:row>19</xdr:row>
      <xdr:rowOff>147638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0DFE248-4533-496A-955C-B45E643EB888}"/>
            </a:ext>
          </a:extLst>
        </xdr:cNvPr>
        <xdr:cNvSpPr>
          <a:spLocks/>
        </xdr:cNvSpPr>
      </xdr:nvSpPr>
      <xdr:spPr bwMode="auto">
        <a:xfrm>
          <a:off x="7800975" y="322802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24</xdr:row>
      <xdr:rowOff>85725</xdr:rowOff>
    </xdr:from>
    <xdr:to>
      <xdr:col>4</xdr:col>
      <xdr:colOff>238125</xdr:colOff>
      <xdr:row>26</xdr:row>
      <xdr:rowOff>114300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FBF49CD-270F-4842-BC12-BEDEA73D0E21}"/>
            </a:ext>
          </a:extLst>
        </xdr:cNvPr>
        <xdr:cNvSpPr>
          <a:spLocks/>
        </xdr:cNvSpPr>
      </xdr:nvSpPr>
      <xdr:spPr bwMode="auto">
        <a:xfrm>
          <a:off x="7800975" y="44748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28</xdr:row>
      <xdr:rowOff>95250</xdr:rowOff>
    </xdr:from>
    <xdr:to>
      <xdr:col>4</xdr:col>
      <xdr:colOff>238125</xdr:colOff>
      <xdr:row>30</xdr:row>
      <xdr:rowOff>123825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D5D6742B-0463-46FC-8D50-045A5DC2D865}"/>
            </a:ext>
          </a:extLst>
        </xdr:cNvPr>
        <xdr:cNvSpPr>
          <a:spLocks/>
        </xdr:cNvSpPr>
      </xdr:nvSpPr>
      <xdr:spPr bwMode="auto">
        <a:xfrm>
          <a:off x="7800975" y="52158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33</xdr:row>
      <xdr:rowOff>85725</xdr:rowOff>
    </xdr:from>
    <xdr:to>
      <xdr:col>4</xdr:col>
      <xdr:colOff>238125</xdr:colOff>
      <xdr:row>35</xdr:row>
      <xdr:rowOff>114300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98C51C66-70E7-453C-A81A-906BB5B3546B}"/>
            </a:ext>
          </a:extLst>
        </xdr:cNvPr>
        <xdr:cNvSpPr>
          <a:spLocks/>
        </xdr:cNvSpPr>
      </xdr:nvSpPr>
      <xdr:spPr bwMode="auto">
        <a:xfrm>
          <a:off x="7800975" y="61207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37</xdr:row>
      <xdr:rowOff>95250</xdr:rowOff>
    </xdr:from>
    <xdr:to>
      <xdr:col>4</xdr:col>
      <xdr:colOff>238125</xdr:colOff>
      <xdr:row>39</xdr:row>
      <xdr:rowOff>123825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D75E0A98-ABEE-433C-9505-853FE183CE32}"/>
            </a:ext>
          </a:extLst>
        </xdr:cNvPr>
        <xdr:cNvSpPr>
          <a:spLocks/>
        </xdr:cNvSpPr>
      </xdr:nvSpPr>
      <xdr:spPr bwMode="auto">
        <a:xfrm>
          <a:off x="7800975" y="68618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44</xdr:row>
      <xdr:rowOff>85725</xdr:rowOff>
    </xdr:from>
    <xdr:to>
      <xdr:col>4</xdr:col>
      <xdr:colOff>238125</xdr:colOff>
      <xdr:row>46</xdr:row>
      <xdr:rowOff>114300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768073E-CAAB-472B-81FF-59FE4121F0A5}"/>
            </a:ext>
          </a:extLst>
        </xdr:cNvPr>
        <xdr:cNvSpPr>
          <a:spLocks/>
        </xdr:cNvSpPr>
      </xdr:nvSpPr>
      <xdr:spPr bwMode="auto">
        <a:xfrm>
          <a:off x="7800975" y="81324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48</xdr:row>
      <xdr:rowOff>95250</xdr:rowOff>
    </xdr:from>
    <xdr:to>
      <xdr:col>4</xdr:col>
      <xdr:colOff>238125</xdr:colOff>
      <xdr:row>50</xdr:row>
      <xdr:rowOff>123825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8F67D70-6ED8-48D8-A497-E7C40C38B3BF}"/>
            </a:ext>
          </a:extLst>
        </xdr:cNvPr>
        <xdr:cNvSpPr>
          <a:spLocks/>
        </xdr:cNvSpPr>
      </xdr:nvSpPr>
      <xdr:spPr bwMode="auto">
        <a:xfrm>
          <a:off x="7800975" y="88734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53</xdr:row>
      <xdr:rowOff>85725</xdr:rowOff>
    </xdr:from>
    <xdr:to>
      <xdr:col>4</xdr:col>
      <xdr:colOff>238125</xdr:colOff>
      <xdr:row>55</xdr:row>
      <xdr:rowOff>114300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73A6B07A-37E6-44BF-9D95-656EBA632AD4}"/>
            </a:ext>
          </a:extLst>
        </xdr:cNvPr>
        <xdr:cNvSpPr>
          <a:spLocks/>
        </xdr:cNvSpPr>
      </xdr:nvSpPr>
      <xdr:spPr bwMode="auto">
        <a:xfrm>
          <a:off x="7800975" y="97783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57</xdr:row>
      <xdr:rowOff>95250</xdr:rowOff>
    </xdr:from>
    <xdr:to>
      <xdr:col>4</xdr:col>
      <xdr:colOff>238125</xdr:colOff>
      <xdr:row>59</xdr:row>
      <xdr:rowOff>123825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BEBD66C3-FD86-4E2B-8796-2014A402EC3D}"/>
            </a:ext>
          </a:extLst>
        </xdr:cNvPr>
        <xdr:cNvSpPr>
          <a:spLocks/>
        </xdr:cNvSpPr>
      </xdr:nvSpPr>
      <xdr:spPr bwMode="auto">
        <a:xfrm>
          <a:off x="7800975" y="105194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64</xdr:row>
      <xdr:rowOff>85725</xdr:rowOff>
    </xdr:from>
    <xdr:to>
      <xdr:col>4</xdr:col>
      <xdr:colOff>238125</xdr:colOff>
      <xdr:row>66</xdr:row>
      <xdr:rowOff>114300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683CA744-B734-4A4D-BEF7-3A753FA4A859}"/>
            </a:ext>
          </a:extLst>
        </xdr:cNvPr>
        <xdr:cNvSpPr>
          <a:spLocks/>
        </xdr:cNvSpPr>
      </xdr:nvSpPr>
      <xdr:spPr bwMode="auto">
        <a:xfrm>
          <a:off x="7800975" y="117900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68</xdr:row>
      <xdr:rowOff>95250</xdr:rowOff>
    </xdr:from>
    <xdr:to>
      <xdr:col>4</xdr:col>
      <xdr:colOff>238125</xdr:colOff>
      <xdr:row>70</xdr:row>
      <xdr:rowOff>123825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3668D10A-ED99-4CDC-8A00-345A7090DA32}"/>
            </a:ext>
          </a:extLst>
        </xdr:cNvPr>
        <xdr:cNvSpPr>
          <a:spLocks/>
        </xdr:cNvSpPr>
      </xdr:nvSpPr>
      <xdr:spPr bwMode="auto">
        <a:xfrm>
          <a:off x="7800975" y="125310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73</xdr:row>
      <xdr:rowOff>85725</xdr:rowOff>
    </xdr:from>
    <xdr:to>
      <xdr:col>4</xdr:col>
      <xdr:colOff>238125</xdr:colOff>
      <xdr:row>75</xdr:row>
      <xdr:rowOff>114300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A420B78A-73D1-463A-B409-300F2BCB11AD}"/>
            </a:ext>
          </a:extLst>
        </xdr:cNvPr>
        <xdr:cNvSpPr>
          <a:spLocks/>
        </xdr:cNvSpPr>
      </xdr:nvSpPr>
      <xdr:spPr bwMode="auto">
        <a:xfrm>
          <a:off x="7800975" y="134359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77</xdr:row>
      <xdr:rowOff>95250</xdr:rowOff>
    </xdr:from>
    <xdr:to>
      <xdr:col>4</xdr:col>
      <xdr:colOff>238125</xdr:colOff>
      <xdr:row>79</xdr:row>
      <xdr:rowOff>123825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C1B9A39E-EE5E-486A-94A3-BFC6178E051E}"/>
            </a:ext>
          </a:extLst>
        </xdr:cNvPr>
        <xdr:cNvSpPr>
          <a:spLocks/>
        </xdr:cNvSpPr>
      </xdr:nvSpPr>
      <xdr:spPr bwMode="auto">
        <a:xfrm>
          <a:off x="7800975" y="141770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124</xdr:row>
      <xdr:rowOff>85725</xdr:rowOff>
    </xdr:from>
    <xdr:to>
      <xdr:col>4</xdr:col>
      <xdr:colOff>238125</xdr:colOff>
      <xdr:row>126</xdr:row>
      <xdr:rowOff>114300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1C72EEA-4076-4224-9257-2D100B55ACE1}"/>
            </a:ext>
          </a:extLst>
        </xdr:cNvPr>
        <xdr:cNvSpPr>
          <a:spLocks/>
        </xdr:cNvSpPr>
      </xdr:nvSpPr>
      <xdr:spPr bwMode="auto">
        <a:xfrm>
          <a:off x="7800975" y="227628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128</xdr:row>
      <xdr:rowOff>95250</xdr:rowOff>
    </xdr:from>
    <xdr:to>
      <xdr:col>4</xdr:col>
      <xdr:colOff>238125</xdr:colOff>
      <xdr:row>130</xdr:row>
      <xdr:rowOff>123825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76B873C9-2997-41F3-92CF-C802A4C3FE03}"/>
            </a:ext>
          </a:extLst>
        </xdr:cNvPr>
        <xdr:cNvSpPr>
          <a:spLocks/>
        </xdr:cNvSpPr>
      </xdr:nvSpPr>
      <xdr:spPr bwMode="auto">
        <a:xfrm>
          <a:off x="7800975" y="235038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133</xdr:row>
      <xdr:rowOff>85725</xdr:rowOff>
    </xdr:from>
    <xdr:to>
      <xdr:col>4</xdr:col>
      <xdr:colOff>238125</xdr:colOff>
      <xdr:row>135</xdr:row>
      <xdr:rowOff>114300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CE7867E-73BF-4E2B-BB42-0CAEEAE5F910}"/>
            </a:ext>
          </a:extLst>
        </xdr:cNvPr>
        <xdr:cNvSpPr>
          <a:spLocks/>
        </xdr:cNvSpPr>
      </xdr:nvSpPr>
      <xdr:spPr bwMode="auto">
        <a:xfrm>
          <a:off x="7800975" y="244087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137</xdr:row>
      <xdr:rowOff>95250</xdr:rowOff>
    </xdr:from>
    <xdr:to>
      <xdr:col>4</xdr:col>
      <xdr:colOff>238125</xdr:colOff>
      <xdr:row>139</xdr:row>
      <xdr:rowOff>123825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DC34072F-7D95-4AC2-8EE7-A5EB34654EFA}"/>
            </a:ext>
          </a:extLst>
        </xdr:cNvPr>
        <xdr:cNvSpPr>
          <a:spLocks/>
        </xdr:cNvSpPr>
      </xdr:nvSpPr>
      <xdr:spPr bwMode="auto">
        <a:xfrm>
          <a:off x="7800975" y="251498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144</xdr:row>
      <xdr:rowOff>85725</xdr:rowOff>
    </xdr:from>
    <xdr:to>
      <xdr:col>4</xdr:col>
      <xdr:colOff>238125</xdr:colOff>
      <xdr:row>146</xdr:row>
      <xdr:rowOff>114300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E8DE2C9-E2E1-489D-9160-C57EC3D60398}"/>
            </a:ext>
          </a:extLst>
        </xdr:cNvPr>
        <xdr:cNvSpPr>
          <a:spLocks/>
        </xdr:cNvSpPr>
      </xdr:nvSpPr>
      <xdr:spPr bwMode="auto">
        <a:xfrm>
          <a:off x="7800975" y="264204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148</xdr:row>
      <xdr:rowOff>95250</xdr:rowOff>
    </xdr:from>
    <xdr:to>
      <xdr:col>4</xdr:col>
      <xdr:colOff>238125</xdr:colOff>
      <xdr:row>150</xdr:row>
      <xdr:rowOff>123825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9C7BD418-DD94-4C70-B736-1F0E2DCFE607}"/>
            </a:ext>
          </a:extLst>
        </xdr:cNvPr>
        <xdr:cNvSpPr>
          <a:spLocks/>
        </xdr:cNvSpPr>
      </xdr:nvSpPr>
      <xdr:spPr bwMode="auto">
        <a:xfrm>
          <a:off x="7800975" y="271614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153</xdr:row>
      <xdr:rowOff>85725</xdr:rowOff>
    </xdr:from>
    <xdr:to>
      <xdr:col>4</xdr:col>
      <xdr:colOff>238125</xdr:colOff>
      <xdr:row>155</xdr:row>
      <xdr:rowOff>114300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C25E5194-FCE4-4413-975B-1F48B54A70DD}"/>
            </a:ext>
          </a:extLst>
        </xdr:cNvPr>
        <xdr:cNvSpPr>
          <a:spLocks/>
        </xdr:cNvSpPr>
      </xdr:nvSpPr>
      <xdr:spPr bwMode="auto">
        <a:xfrm>
          <a:off x="7800975" y="280663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157</xdr:row>
      <xdr:rowOff>95250</xdr:rowOff>
    </xdr:from>
    <xdr:to>
      <xdr:col>4</xdr:col>
      <xdr:colOff>238125</xdr:colOff>
      <xdr:row>159</xdr:row>
      <xdr:rowOff>123825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AC48142-AF76-4118-81E2-024369639A63}"/>
            </a:ext>
          </a:extLst>
        </xdr:cNvPr>
        <xdr:cNvSpPr>
          <a:spLocks/>
        </xdr:cNvSpPr>
      </xdr:nvSpPr>
      <xdr:spPr bwMode="auto">
        <a:xfrm>
          <a:off x="7800975" y="288074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5</xdr:row>
      <xdr:rowOff>85724</xdr:rowOff>
    </xdr:from>
    <xdr:to>
      <xdr:col>6</xdr:col>
      <xdr:colOff>228599</xdr:colOff>
      <xdr:row>9</xdr:row>
      <xdr:rowOff>76199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CD4F9D8D-379E-4BE3-BA3D-8ACFCF11479A}"/>
            </a:ext>
          </a:extLst>
        </xdr:cNvPr>
        <xdr:cNvSpPr>
          <a:spLocks/>
        </xdr:cNvSpPr>
      </xdr:nvSpPr>
      <xdr:spPr bwMode="auto">
        <a:xfrm>
          <a:off x="8799194" y="10001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14</xdr:row>
      <xdr:rowOff>85724</xdr:rowOff>
    </xdr:from>
    <xdr:to>
      <xdr:col>6</xdr:col>
      <xdr:colOff>228599</xdr:colOff>
      <xdr:row>18</xdr:row>
      <xdr:rowOff>76199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4A67154-CCB7-42D7-AB9C-4C05950345A3}"/>
            </a:ext>
          </a:extLst>
        </xdr:cNvPr>
        <xdr:cNvSpPr>
          <a:spLocks/>
        </xdr:cNvSpPr>
      </xdr:nvSpPr>
      <xdr:spPr bwMode="auto">
        <a:xfrm>
          <a:off x="8799194" y="26460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25</xdr:row>
      <xdr:rowOff>85724</xdr:rowOff>
    </xdr:from>
    <xdr:to>
      <xdr:col>6</xdr:col>
      <xdr:colOff>228599</xdr:colOff>
      <xdr:row>29</xdr:row>
      <xdr:rowOff>76199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A608EC06-F9E2-424F-9BFA-103435D2C68C}"/>
            </a:ext>
          </a:extLst>
        </xdr:cNvPr>
        <xdr:cNvSpPr>
          <a:spLocks/>
        </xdr:cNvSpPr>
      </xdr:nvSpPr>
      <xdr:spPr bwMode="auto">
        <a:xfrm>
          <a:off x="8799194" y="46577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34</xdr:row>
      <xdr:rowOff>85724</xdr:rowOff>
    </xdr:from>
    <xdr:to>
      <xdr:col>6</xdr:col>
      <xdr:colOff>228599</xdr:colOff>
      <xdr:row>38</xdr:row>
      <xdr:rowOff>76199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D138F72F-4E91-41D0-A75C-3551439798B7}"/>
            </a:ext>
          </a:extLst>
        </xdr:cNvPr>
        <xdr:cNvSpPr>
          <a:spLocks/>
        </xdr:cNvSpPr>
      </xdr:nvSpPr>
      <xdr:spPr bwMode="auto">
        <a:xfrm>
          <a:off x="8799194" y="63036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45</xdr:row>
      <xdr:rowOff>85724</xdr:rowOff>
    </xdr:from>
    <xdr:to>
      <xdr:col>6</xdr:col>
      <xdr:colOff>228599</xdr:colOff>
      <xdr:row>49</xdr:row>
      <xdr:rowOff>76199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29AB363-F37F-44BF-B517-908F2F9C7B39}"/>
            </a:ext>
          </a:extLst>
        </xdr:cNvPr>
        <xdr:cNvSpPr>
          <a:spLocks/>
        </xdr:cNvSpPr>
      </xdr:nvSpPr>
      <xdr:spPr bwMode="auto">
        <a:xfrm>
          <a:off x="8799194" y="83153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54</xdr:row>
      <xdr:rowOff>85724</xdr:rowOff>
    </xdr:from>
    <xdr:to>
      <xdr:col>6</xdr:col>
      <xdr:colOff>228599</xdr:colOff>
      <xdr:row>58</xdr:row>
      <xdr:rowOff>76199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74E3F109-B632-4A45-A786-6ECE2B76E5ED}"/>
            </a:ext>
          </a:extLst>
        </xdr:cNvPr>
        <xdr:cNvSpPr>
          <a:spLocks/>
        </xdr:cNvSpPr>
      </xdr:nvSpPr>
      <xdr:spPr bwMode="auto">
        <a:xfrm>
          <a:off x="8799194" y="99612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65</xdr:row>
      <xdr:rowOff>85724</xdr:rowOff>
    </xdr:from>
    <xdr:to>
      <xdr:col>6</xdr:col>
      <xdr:colOff>228599</xdr:colOff>
      <xdr:row>69</xdr:row>
      <xdr:rowOff>76199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F365A0B6-6B05-4DB6-BB24-8EA77C51B01B}"/>
            </a:ext>
          </a:extLst>
        </xdr:cNvPr>
        <xdr:cNvSpPr>
          <a:spLocks/>
        </xdr:cNvSpPr>
      </xdr:nvSpPr>
      <xdr:spPr bwMode="auto">
        <a:xfrm>
          <a:off x="8799194" y="119729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74</xdr:row>
      <xdr:rowOff>85724</xdr:rowOff>
    </xdr:from>
    <xdr:to>
      <xdr:col>6</xdr:col>
      <xdr:colOff>228599</xdr:colOff>
      <xdr:row>78</xdr:row>
      <xdr:rowOff>76199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DB7E71B6-EB62-4A1E-8F41-6DAD6E5C299D}"/>
            </a:ext>
          </a:extLst>
        </xdr:cNvPr>
        <xdr:cNvSpPr>
          <a:spLocks/>
        </xdr:cNvSpPr>
      </xdr:nvSpPr>
      <xdr:spPr bwMode="auto">
        <a:xfrm>
          <a:off x="8799194" y="136188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125</xdr:row>
      <xdr:rowOff>85724</xdr:rowOff>
    </xdr:from>
    <xdr:to>
      <xdr:col>6</xdr:col>
      <xdr:colOff>228599</xdr:colOff>
      <xdr:row>129</xdr:row>
      <xdr:rowOff>76199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0CD3601-6219-4343-95F5-4C82CCE86B31}"/>
            </a:ext>
          </a:extLst>
        </xdr:cNvPr>
        <xdr:cNvSpPr>
          <a:spLocks/>
        </xdr:cNvSpPr>
      </xdr:nvSpPr>
      <xdr:spPr bwMode="auto">
        <a:xfrm>
          <a:off x="8799194" y="229457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134</xdr:row>
      <xdr:rowOff>85724</xdr:rowOff>
    </xdr:from>
    <xdr:to>
      <xdr:col>6</xdr:col>
      <xdr:colOff>228599</xdr:colOff>
      <xdr:row>138</xdr:row>
      <xdr:rowOff>76199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DE8A0E0F-B855-4756-A859-FC545A741859}"/>
            </a:ext>
          </a:extLst>
        </xdr:cNvPr>
        <xdr:cNvSpPr>
          <a:spLocks/>
        </xdr:cNvSpPr>
      </xdr:nvSpPr>
      <xdr:spPr bwMode="auto">
        <a:xfrm>
          <a:off x="8799194" y="245916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145</xdr:row>
      <xdr:rowOff>85724</xdr:rowOff>
    </xdr:from>
    <xdr:to>
      <xdr:col>6</xdr:col>
      <xdr:colOff>228599</xdr:colOff>
      <xdr:row>149</xdr:row>
      <xdr:rowOff>76199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6DC116F-6830-42EB-A922-6286E63C7E32}"/>
            </a:ext>
          </a:extLst>
        </xdr:cNvPr>
        <xdr:cNvSpPr>
          <a:spLocks/>
        </xdr:cNvSpPr>
      </xdr:nvSpPr>
      <xdr:spPr bwMode="auto">
        <a:xfrm>
          <a:off x="8799194" y="266033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154</xdr:row>
      <xdr:rowOff>85724</xdr:rowOff>
    </xdr:from>
    <xdr:to>
      <xdr:col>6</xdr:col>
      <xdr:colOff>228599</xdr:colOff>
      <xdr:row>158</xdr:row>
      <xdr:rowOff>76199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119558FC-B11F-49F0-9747-CB9277692B69}"/>
            </a:ext>
          </a:extLst>
        </xdr:cNvPr>
        <xdr:cNvSpPr>
          <a:spLocks/>
        </xdr:cNvSpPr>
      </xdr:nvSpPr>
      <xdr:spPr bwMode="auto">
        <a:xfrm>
          <a:off x="8799194" y="282492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7</xdr:row>
      <xdr:rowOff>95251</xdr:rowOff>
    </xdr:from>
    <xdr:to>
      <xdr:col>8</xdr:col>
      <xdr:colOff>219075</xdr:colOff>
      <xdr:row>16</xdr:row>
      <xdr:rowOff>38101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03147C1-FE41-4574-83FA-C142C69ECFA6}"/>
            </a:ext>
          </a:extLst>
        </xdr:cNvPr>
        <xdr:cNvSpPr>
          <a:spLocks/>
        </xdr:cNvSpPr>
      </xdr:nvSpPr>
      <xdr:spPr bwMode="auto">
        <a:xfrm>
          <a:off x="9797415" y="13754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27</xdr:row>
      <xdr:rowOff>95251</xdr:rowOff>
    </xdr:from>
    <xdr:to>
      <xdr:col>8</xdr:col>
      <xdr:colOff>219075</xdr:colOff>
      <xdr:row>36</xdr:row>
      <xdr:rowOff>38101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34DFC982-5DD1-4D2A-955E-F165DBBA51C0}"/>
            </a:ext>
          </a:extLst>
        </xdr:cNvPr>
        <xdr:cNvSpPr>
          <a:spLocks/>
        </xdr:cNvSpPr>
      </xdr:nvSpPr>
      <xdr:spPr bwMode="auto">
        <a:xfrm>
          <a:off x="9797415" y="50330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163285</xdr:colOff>
      <xdr:row>11</xdr:row>
      <xdr:rowOff>122464</xdr:rowOff>
    </xdr:from>
    <xdr:to>
      <xdr:col>10</xdr:col>
      <xdr:colOff>242454</xdr:colOff>
      <xdr:row>31</xdr:row>
      <xdr:rowOff>69273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28F7368-C722-48DF-B84C-970F301256D9}"/>
            </a:ext>
          </a:extLst>
        </xdr:cNvPr>
        <xdr:cNvSpPr>
          <a:spLocks/>
        </xdr:cNvSpPr>
      </xdr:nvSpPr>
      <xdr:spPr bwMode="auto">
        <a:xfrm>
          <a:off x="10816045" y="2134144"/>
          <a:ext cx="79169" cy="3604409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47</xdr:row>
      <xdr:rowOff>95251</xdr:rowOff>
    </xdr:from>
    <xdr:to>
      <xdr:col>8</xdr:col>
      <xdr:colOff>219075</xdr:colOff>
      <xdr:row>56</xdr:row>
      <xdr:rowOff>38101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42B8AA48-30C7-44FA-BD3A-3E019C3B5DA5}"/>
            </a:ext>
          </a:extLst>
        </xdr:cNvPr>
        <xdr:cNvSpPr>
          <a:spLocks/>
        </xdr:cNvSpPr>
      </xdr:nvSpPr>
      <xdr:spPr bwMode="auto">
        <a:xfrm>
          <a:off x="9797415" y="86906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67</xdr:row>
      <xdr:rowOff>95251</xdr:rowOff>
    </xdr:from>
    <xdr:to>
      <xdr:col>8</xdr:col>
      <xdr:colOff>219075</xdr:colOff>
      <xdr:row>76</xdr:row>
      <xdr:rowOff>38101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7DB3C67F-4A2A-4121-B50F-20F801CA81EE}"/>
            </a:ext>
          </a:extLst>
        </xdr:cNvPr>
        <xdr:cNvSpPr>
          <a:spLocks/>
        </xdr:cNvSpPr>
      </xdr:nvSpPr>
      <xdr:spPr bwMode="auto">
        <a:xfrm>
          <a:off x="9797415" y="123482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127</xdr:row>
      <xdr:rowOff>95251</xdr:rowOff>
    </xdr:from>
    <xdr:to>
      <xdr:col>8</xdr:col>
      <xdr:colOff>219075</xdr:colOff>
      <xdr:row>136</xdr:row>
      <xdr:rowOff>38101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79F039FC-BB54-46C8-8074-FFF5433A3E8B}"/>
            </a:ext>
          </a:extLst>
        </xdr:cNvPr>
        <xdr:cNvSpPr>
          <a:spLocks/>
        </xdr:cNvSpPr>
      </xdr:nvSpPr>
      <xdr:spPr bwMode="auto">
        <a:xfrm>
          <a:off x="9797415" y="233210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147</xdr:row>
      <xdr:rowOff>95251</xdr:rowOff>
    </xdr:from>
    <xdr:to>
      <xdr:col>8</xdr:col>
      <xdr:colOff>219075</xdr:colOff>
      <xdr:row>156</xdr:row>
      <xdr:rowOff>38101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333F610-F1CC-4902-AD27-C14C02C17DE1}"/>
            </a:ext>
          </a:extLst>
        </xdr:cNvPr>
        <xdr:cNvSpPr>
          <a:spLocks/>
        </xdr:cNvSpPr>
      </xdr:nvSpPr>
      <xdr:spPr bwMode="auto">
        <a:xfrm>
          <a:off x="9797415" y="269786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163285</xdr:colOff>
      <xdr:row>51</xdr:row>
      <xdr:rowOff>122464</xdr:rowOff>
    </xdr:from>
    <xdr:to>
      <xdr:col>10</xdr:col>
      <xdr:colOff>242454</xdr:colOff>
      <xdr:row>71</xdr:row>
      <xdr:rowOff>69273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1667D882-7746-4C32-BBD4-13799CFBDFAB}"/>
            </a:ext>
          </a:extLst>
        </xdr:cNvPr>
        <xdr:cNvSpPr>
          <a:spLocks/>
        </xdr:cNvSpPr>
      </xdr:nvSpPr>
      <xdr:spPr bwMode="auto">
        <a:xfrm>
          <a:off x="10816045" y="9449344"/>
          <a:ext cx="79169" cy="3604409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163285</xdr:colOff>
      <xdr:row>131</xdr:row>
      <xdr:rowOff>122464</xdr:rowOff>
    </xdr:from>
    <xdr:to>
      <xdr:col>10</xdr:col>
      <xdr:colOff>242454</xdr:colOff>
      <xdr:row>151</xdr:row>
      <xdr:rowOff>69273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EDD7A6D3-1DB1-4178-84F2-B2B2DC112B7F}"/>
            </a:ext>
          </a:extLst>
        </xdr:cNvPr>
        <xdr:cNvSpPr>
          <a:spLocks/>
        </xdr:cNvSpPr>
      </xdr:nvSpPr>
      <xdr:spPr bwMode="auto">
        <a:xfrm>
          <a:off x="10816045" y="24079744"/>
          <a:ext cx="79169" cy="3604409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121228</xdr:colOff>
      <xdr:row>21</xdr:row>
      <xdr:rowOff>103909</xdr:rowOff>
    </xdr:from>
    <xdr:to>
      <xdr:col>12</xdr:col>
      <xdr:colOff>225137</xdr:colOff>
      <xdr:row>61</xdr:row>
      <xdr:rowOff>103909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88844B89-C866-44C4-9B47-0DDC21A221A2}"/>
            </a:ext>
          </a:extLst>
        </xdr:cNvPr>
        <xdr:cNvSpPr>
          <a:spLocks/>
        </xdr:cNvSpPr>
      </xdr:nvSpPr>
      <xdr:spPr bwMode="auto">
        <a:xfrm>
          <a:off x="11817928" y="3944389"/>
          <a:ext cx="103909" cy="731520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4D7A7C32-9928-454F-98E2-1BDCBCE3E2A4}"/>
            </a:ext>
          </a:extLst>
        </xdr:cNvPr>
        <xdr:cNvSpPr>
          <a:spLocks/>
        </xdr:cNvSpPr>
      </xdr:nvSpPr>
      <xdr:spPr bwMode="auto">
        <a:xfrm>
          <a:off x="551688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078B2343-22D9-4F9D-B1DF-3E05F1CEFE2D}"/>
            </a:ext>
          </a:extLst>
        </xdr:cNvPr>
        <xdr:cNvSpPr>
          <a:spLocks/>
        </xdr:cNvSpPr>
      </xdr:nvSpPr>
      <xdr:spPr bwMode="auto">
        <a:xfrm>
          <a:off x="551688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8</xdr:row>
      <xdr:rowOff>76200</xdr:rowOff>
    </xdr:from>
    <xdr:to>
      <xdr:col>2</xdr:col>
      <xdr:colOff>133350</xdr:colOff>
      <xdr:row>9</xdr:row>
      <xdr:rowOff>85725</xdr:rowOff>
    </xdr:to>
    <xdr:sp macro="" textlink="">
      <xdr:nvSpPr>
        <xdr:cNvPr id="131" name="AutoShape 3">
          <a:extLst>
            <a:ext uri="{FF2B5EF4-FFF2-40B4-BE49-F238E27FC236}">
              <a16:creationId xmlns:a16="http://schemas.microsoft.com/office/drawing/2014/main" id="{E8B0131C-1926-40D0-897E-E746026ACA66}"/>
            </a:ext>
          </a:extLst>
        </xdr:cNvPr>
        <xdr:cNvSpPr>
          <a:spLocks/>
        </xdr:cNvSpPr>
      </xdr:nvSpPr>
      <xdr:spPr bwMode="auto">
        <a:xfrm>
          <a:off x="5516880" y="153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10</xdr:row>
      <xdr:rowOff>76200</xdr:rowOff>
    </xdr:from>
    <xdr:to>
      <xdr:col>2</xdr:col>
      <xdr:colOff>133350</xdr:colOff>
      <xdr:row>11</xdr:row>
      <xdr:rowOff>85725</xdr:rowOff>
    </xdr:to>
    <xdr:sp macro="" textlink="">
      <xdr:nvSpPr>
        <xdr:cNvPr id="132" name="AutoShape 4">
          <a:extLst>
            <a:ext uri="{FF2B5EF4-FFF2-40B4-BE49-F238E27FC236}">
              <a16:creationId xmlns:a16="http://schemas.microsoft.com/office/drawing/2014/main" id="{9C412610-00D4-4DF7-9D5A-085EA3EE3A94}"/>
            </a:ext>
          </a:extLst>
        </xdr:cNvPr>
        <xdr:cNvSpPr>
          <a:spLocks/>
        </xdr:cNvSpPr>
      </xdr:nvSpPr>
      <xdr:spPr bwMode="auto">
        <a:xfrm>
          <a:off x="5516880" y="19050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</xdr:row>
      <xdr:rowOff>76200</xdr:rowOff>
    </xdr:from>
    <xdr:to>
      <xdr:col>2</xdr:col>
      <xdr:colOff>133350</xdr:colOff>
      <xdr:row>14</xdr:row>
      <xdr:rowOff>85725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21C774E5-FFCC-4253-8951-BEBC25E77A96}"/>
            </a:ext>
          </a:extLst>
        </xdr:cNvPr>
        <xdr:cNvSpPr>
          <a:spLocks/>
        </xdr:cNvSpPr>
      </xdr:nvSpPr>
      <xdr:spPr bwMode="auto">
        <a:xfrm>
          <a:off x="5516880" y="24536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</xdr:row>
      <xdr:rowOff>76200</xdr:rowOff>
    </xdr:from>
    <xdr:to>
      <xdr:col>2</xdr:col>
      <xdr:colOff>133350</xdr:colOff>
      <xdr:row>16</xdr:row>
      <xdr:rowOff>85725</xdr:rowOff>
    </xdr:to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708510A4-ECF4-4815-AE6E-04A6F7E0BCA5}"/>
            </a:ext>
          </a:extLst>
        </xdr:cNvPr>
        <xdr:cNvSpPr>
          <a:spLocks/>
        </xdr:cNvSpPr>
      </xdr:nvSpPr>
      <xdr:spPr bwMode="auto">
        <a:xfrm>
          <a:off x="5516880" y="28194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17</xdr:row>
      <xdr:rowOff>76200</xdr:rowOff>
    </xdr:from>
    <xdr:to>
      <xdr:col>2</xdr:col>
      <xdr:colOff>133350</xdr:colOff>
      <xdr:row>18</xdr:row>
      <xdr:rowOff>85725</xdr:rowOff>
    </xdr:to>
    <xdr:sp macro="" textlink="">
      <xdr:nvSpPr>
        <xdr:cNvPr id="135" name="AutoShape 3">
          <a:extLst>
            <a:ext uri="{FF2B5EF4-FFF2-40B4-BE49-F238E27FC236}">
              <a16:creationId xmlns:a16="http://schemas.microsoft.com/office/drawing/2014/main" id="{FE74F2EF-760F-4C02-9033-5FDDFFF28EC3}"/>
            </a:ext>
          </a:extLst>
        </xdr:cNvPr>
        <xdr:cNvSpPr>
          <a:spLocks/>
        </xdr:cNvSpPr>
      </xdr:nvSpPr>
      <xdr:spPr bwMode="auto">
        <a:xfrm>
          <a:off x="5516880" y="31851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19</xdr:row>
      <xdr:rowOff>76200</xdr:rowOff>
    </xdr:from>
    <xdr:to>
      <xdr:col>2</xdr:col>
      <xdr:colOff>133350</xdr:colOff>
      <xdr:row>20</xdr:row>
      <xdr:rowOff>85725</xdr:rowOff>
    </xdr:to>
    <xdr:sp macro="" textlink="">
      <xdr:nvSpPr>
        <xdr:cNvPr id="136" name="AutoShape 4">
          <a:extLst>
            <a:ext uri="{FF2B5EF4-FFF2-40B4-BE49-F238E27FC236}">
              <a16:creationId xmlns:a16="http://schemas.microsoft.com/office/drawing/2014/main" id="{8F2F9667-361C-41AA-A5F7-0AD1E64256AC}"/>
            </a:ext>
          </a:extLst>
        </xdr:cNvPr>
        <xdr:cNvSpPr>
          <a:spLocks/>
        </xdr:cNvSpPr>
      </xdr:nvSpPr>
      <xdr:spPr bwMode="auto">
        <a:xfrm>
          <a:off x="5516880" y="35509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24</xdr:row>
      <xdr:rowOff>76200</xdr:rowOff>
    </xdr:from>
    <xdr:to>
      <xdr:col>2</xdr:col>
      <xdr:colOff>133350</xdr:colOff>
      <xdr:row>25</xdr:row>
      <xdr:rowOff>85725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3CF1E7E0-BAB8-4976-BE34-9424C0EF5716}"/>
            </a:ext>
          </a:extLst>
        </xdr:cNvPr>
        <xdr:cNvSpPr>
          <a:spLocks/>
        </xdr:cNvSpPr>
      </xdr:nvSpPr>
      <xdr:spPr bwMode="auto">
        <a:xfrm>
          <a:off x="5516880" y="44653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26</xdr:row>
      <xdr:rowOff>76200</xdr:rowOff>
    </xdr:from>
    <xdr:to>
      <xdr:col>2</xdr:col>
      <xdr:colOff>133350</xdr:colOff>
      <xdr:row>27</xdr:row>
      <xdr:rowOff>85725</xdr:rowOff>
    </xdr:to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9203C86B-A8E8-4982-80A1-6C1F087DFBBA}"/>
            </a:ext>
          </a:extLst>
        </xdr:cNvPr>
        <xdr:cNvSpPr>
          <a:spLocks/>
        </xdr:cNvSpPr>
      </xdr:nvSpPr>
      <xdr:spPr bwMode="auto">
        <a:xfrm>
          <a:off x="5516880" y="48310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28</xdr:row>
      <xdr:rowOff>76200</xdr:rowOff>
    </xdr:from>
    <xdr:to>
      <xdr:col>2</xdr:col>
      <xdr:colOff>133350</xdr:colOff>
      <xdr:row>29</xdr:row>
      <xdr:rowOff>85725</xdr:rowOff>
    </xdr:to>
    <xdr:sp macro="" textlink="">
      <xdr:nvSpPr>
        <xdr:cNvPr id="139" name="AutoShape 3">
          <a:extLst>
            <a:ext uri="{FF2B5EF4-FFF2-40B4-BE49-F238E27FC236}">
              <a16:creationId xmlns:a16="http://schemas.microsoft.com/office/drawing/2014/main" id="{B324A8B0-03C4-41E2-8915-3A4CF43AF8F1}"/>
            </a:ext>
          </a:extLst>
        </xdr:cNvPr>
        <xdr:cNvSpPr>
          <a:spLocks/>
        </xdr:cNvSpPr>
      </xdr:nvSpPr>
      <xdr:spPr bwMode="auto">
        <a:xfrm>
          <a:off x="5516880" y="5196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30</xdr:row>
      <xdr:rowOff>76200</xdr:rowOff>
    </xdr:from>
    <xdr:to>
      <xdr:col>2</xdr:col>
      <xdr:colOff>133350</xdr:colOff>
      <xdr:row>31</xdr:row>
      <xdr:rowOff>85725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FE0E2A3E-4FCA-46DB-8353-788C9BD6BD86}"/>
            </a:ext>
          </a:extLst>
        </xdr:cNvPr>
        <xdr:cNvSpPr>
          <a:spLocks/>
        </xdr:cNvSpPr>
      </xdr:nvSpPr>
      <xdr:spPr bwMode="auto">
        <a:xfrm>
          <a:off x="5516880" y="55626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33</xdr:row>
      <xdr:rowOff>76200</xdr:rowOff>
    </xdr:from>
    <xdr:to>
      <xdr:col>2</xdr:col>
      <xdr:colOff>133350</xdr:colOff>
      <xdr:row>34</xdr:row>
      <xdr:rowOff>85725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E077DA2A-3F39-485F-A027-98BC9B73A501}"/>
            </a:ext>
          </a:extLst>
        </xdr:cNvPr>
        <xdr:cNvSpPr>
          <a:spLocks/>
        </xdr:cNvSpPr>
      </xdr:nvSpPr>
      <xdr:spPr bwMode="auto">
        <a:xfrm>
          <a:off x="5516880" y="6111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35</xdr:row>
      <xdr:rowOff>76200</xdr:rowOff>
    </xdr:from>
    <xdr:to>
      <xdr:col>2</xdr:col>
      <xdr:colOff>133350</xdr:colOff>
      <xdr:row>36</xdr:row>
      <xdr:rowOff>85725</xdr:rowOff>
    </xdr:to>
    <xdr:sp macro="" textlink="">
      <xdr:nvSpPr>
        <xdr:cNvPr id="142" name="AutoShape 2">
          <a:extLst>
            <a:ext uri="{FF2B5EF4-FFF2-40B4-BE49-F238E27FC236}">
              <a16:creationId xmlns:a16="http://schemas.microsoft.com/office/drawing/2014/main" id="{88CFBF72-6D41-4ED0-8B29-724018BF7486}"/>
            </a:ext>
          </a:extLst>
        </xdr:cNvPr>
        <xdr:cNvSpPr>
          <a:spLocks/>
        </xdr:cNvSpPr>
      </xdr:nvSpPr>
      <xdr:spPr bwMode="auto">
        <a:xfrm>
          <a:off x="5516880" y="64770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37</xdr:row>
      <xdr:rowOff>76200</xdr:rowOff>
    </xdr:from>
    <xdr:to>
      <xdr:col>2</xdr:col>
      <xdr:colOff>133350</xdr:colOff>
      <xdr:row>38</xdr:row>
      <xdr:rowOff>85725</xdr:rowOff>
    </xdr:to>
    <xdr:sp macro="" textlink="">
      <xdr:nvSpPr>
        <xdr:cNvPr id="143" name="AutoShape 3">
          <a:extLst>
            <a:ext uri="{FF2B5EF4-FFF2-40B4-BE49-F238E27FC236}">
              <a16:creationId xmlns:a16="http://schemas.microsoft.com/office/drawing/2014/main" id="{5DDC84F2-7091-40F4-8C5F-53E94FDB6683}"/>
            </a:ext>
          </a:extLst>
        </xdr:cNvPr>
        <xdr:cNvSpPr>
          <a:spLocks/>
        </xdr:cNvSpPr>
      </xdr:nvSpPr>
      <xdr:spPr bwMode="auto">
        <a:xfrm>
          <a:off x="5516880" y="68427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39</xdr:row>
      <xdr:rowOff>76200</xdr:rowOff>
    </xdr:from>
    <xdr:to>
      <xdr:col>2</xdr:col>
      <xdr:colOff>133350</xdr:colOff>
      <xdr:row>40</xdr:row>
      <xdr:rowOff>85725</xdr:rowOff>
    </xdr:to>
    <xdr:sp macro="" textlink="">
      <xdr:nvSpPr>
        <xdr:cNvPr id="144" name="AutoShape 4">
          <a:extLst>
            <a:ext uri="{FF2B5EF4-FFF2-40B4-BE49-F238E27FC236}">
              <a16:creationId xmlns:a16="http://schemas.microsoft.com/office/drawing/2014/main" id="{A3540DA0-ED58-4011-9C00-624AA253F4C9}"/>
            </a:ext>
          </a:extLst>
        </xdr:cNvPr>
        <xdr:cNvSpPr>
          <a:spLocks/>
        </xdr:cNvSpPr>
      </xdr:nvSpPr>
      <xdr:spPr bwMode="auto">
        <a:xfrm>
          <a:off x="5516880" y="72085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4</xdr:row>
      <xdr:rowOff>109538</xdr:rowOff>
    </xdr:from>
    <xdr:to>
      <xdr:col>4</xdr:col>
      <xdr:colOff>238125</xdr:colOff>
      <xdr:row>6</xdr:row>
      <xdr:rowOff>138113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36DACC32-E032-4A4D-8F19-CBBB8F368F0D}"/>
            </a:ext>
          </a:extLst>
        </xdr:cNvPr>
        <xdr:cNvSpPr>
          <a:spLocks/>
        </xdr:cNvSpPr>
      </xdr:nvSpPr>
      <xdr:spPr bwMode="auto">
        <a:xfrm>
          <a:off x="651319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8</xdr:row>
      <xdr:rowOff>119063</xdr:rowOff>
    </xdr:from>
    <xdr:to>
      <xdr:col>4</xdr:col>
      <xdr:colOff>238125</xdr:colOff>
      <xdr:row>10</xdr:row>
      <xdr:rowOff>147638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AE9BE8F-7A78-4E77-8CF4-B86900E18A3D}"/>
            </a:ext>
          </a:extLst>
        </xdr:cNvPr>
        <xdr:cNvSpPr>
          <a:spLocks/>
        </xdr:cNvSpPr>
      </xdr:nvSpPr>
      <xdr:spPr bwMode="auto">
        <a:xfrm>
          <a:off x="6513195" y="158210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13</xdr:row>
      <xdr:rowOff>109538</xdr:rowOff>
    </xdr:from>
    <xdr:to>
      <xdr:col>4</xdr:col>
      <xdr:colOff>238125</xdr:colOff>
      <xdr:row>15</xdr:row>
      <xdr:rowOff>138113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D58161B-1C09-490A-902A-53AA2B55E2CF}"/>
            </a:ext>
          </a:extLst>
        </xdr:cNvPr>
        <xdr:cNvSpPr>
          <a:spLocks/>
        </xdr:cNvSpPr>
      </xdr:nvSpPr>
      <xdr:spPr bwMode="auto">
        <a:xfrm>
          <a:off x="6513195" y="248697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17</xdr:row>
      <xdr:rowOff>119063</xdr:rowOff>
    </xdr:from>
    <xdr:to>
      <xdr:col>4</xdr:col>
      <xdr:colOff>238125</xdr:colOff>
      <xdr:row>19</xdr:row>
      <xdr:rowOff>147638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BACD33B7-A541-477D-BA44-AF877F5514E2}"/>
            </a:ext>
          </a:extLst>
        </xdr:cNvPr>
        <xdr:cNvSpPr>
          <a:spLocks/>
        </xdr:cNvSpPr>
      </xdr:nvSpPr>
      <xdr:spPr bwMode="auto">
        <a:xfrm>
          <a:off x="6513195" y="322802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24</xdr:row>
      <xdr:rowOff>85725</xdr:rowOff>
    </xdr:from>
    <xdr:to>
      <xdr:col>4</xdr:col>
      <xdr:colOff>238125</xdr:colOff>
      <xdr:row>26</xdr:row>
      <xdr:rowOff>114300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240A1DE-4B6C-4D8B-A9F1-96D1E345E83E}"/>
            </a:ext>
          </a:extLst>
        </xdr:cNvPr>
        <xdr:cNvSpPr>
          <a:spLocks/>
        </xdr:cNvSpPr>
      </xdr:nvSpPr>
      <xdr:spPr bwMode="auto">
        <a:xfrm>
          <a:off x="6513195" y="44748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28</xdr:row>
      <xdr:rowOff>95250</xdr:rowOff>
    </xdr:from>
    <xdr:to>
      <xdr:col>4</xdr:col>
      <xdr:colOff>238125</xdr:colOff>
      <xdr:row>30</xdr:row>
      <xdr:rowOff>123825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B5158BF-92B6-424C-A06E-08FCA2B189A9}"/>
            </a:ext>
          </a:extLst>
        </xdr:cNvPr>
        <xdr:cNvSpPr>
          <a:spLocks/>
        </xdr:cNvSpPr>
      </xdr:nvSpPr>
      <xdr:spPr bwMode="auto">
        <a:xfrm>
          <a:off x="6513195" y="52158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33</xdr:row>
      <xdr:rowOff>85725</xdr:rowOff>
    </xdr:from>
    <xdr:to>
      <xdr:col>4</xdr:col>
      <xdr:colOff>238125</xdr:colOff>
      <xdr:row>35</xdr:row>
      <xdr:rowOff>114300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01C5E6E-3F5B-4E2A-84D9-5A487780810D}"/>
            </a:ext>
          </a:extLst>
        </xdr:cNvPr>
        <xdr:cNvSpPr>
          <a:spLocks/>
        </xdr:cNvSpPr>
      </xdr:nvSpPr>
      <xdr:spPr bwMode="auto">
        <a:xfrm>
          <a:off x="6513195" y="61207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37</xdr:row>
      <xdr:rowOff>95250</xdr:rowOff>
    </xdr:from>
    <xdr:to>
      <xdr:col>4</xdr:col>
      <xdr:colOff>238125</xdr:colOff>
      <xdr:row>39</xdr:row>
      <xdr:rowOff>123825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83F8E74E-7966-4D4C-BD8F-69CC6A9415C9}"/>
            </a:ext>
          </a:extLst>
        </xdr:cNvPr>
        <xdr:cNvSpPr>
          <a:spLocks/>
        </xdr:cNvSpPr>
      </xdr:nvSpPr>
      <xdr:spPr bwMode="auto">
        <a:xfrm>
          <a:off x="6513195" y="68618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5</xdr:row>
      <xdr:rowOff>85724</xdr:rowOff>
    </xdr:from>
    <xdr:to>
      <xdr:col>6</xdr:col>
      <xdr:colOff>228599</xdr:colOff>
      <xdr:row>9</xdr:row>
      <xdr:rowOff>76199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EAF99CD4-4730-4092-A06A-71561E826F88}"/>
            </a:ext>
          </a:extLst>
        </xdr:cNvPr>
        <xdr:cNvSpPr>
          <a:spLocks/>
        </xdr:cNvSpPr>
      </xdr:nvSpPr>
      <xdr:spPr bwMode="auto">
        <a:xfrm>
          <a:off x="7522844" y="10001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14</xdr:row>
      <xdr:rowOff>85724</xdr:rowOff>
    </xdr:from>
    <xdr:to>
      <xdr:col>6</xdr:col>
      <xdr:colOff>228599</xdr:colOff>
      <xdr:row>18</xdr:row>
      <xdr:rowOff>76199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FD991B8-A763-4D57-823D-12835C302368}"/>
            </a:ext>
          </a:extLst>
        </xdr:cNvPr>
        <xdr:cNvSpPr>
          <a:spLocks/>
        </xdr:cNvSpPr>
      </xdr:nvSpPr>
      <xdr:spPr bwMode="auto">
        <a:xfrm>
          <a:off x="7522844" y="26460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25</xdr:row>
      <xdr:rowOff>85724</xdr:rowOff>
    </xdr:from>
    <xdr:to>
      <xdr:col>6</xdr:col>
      <xdr:colOff>228599</xdr:colOff>
      <xdr:row>29</xdr:row>
      <xdr:rowOff>76199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3205EE3-CB64-4531-A325-A80AB93F31D8}"/>
            </a:ext>
          </a:extLst>
        </xdr:cNvPr>
        <xdr:cNvSpPr>
          <a:spLocks/>
        </xdr:cNvSpPr>
      </xdr:nvSpPr>
      <xdr:spPr bwMode="auto">
        <a:xfrm>
          <a:off x="7522844" y="46577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34</xdr:row>
      <xdr:rowOff>85724</xdr:rowOff>
    </xdr:from>
    <xdr:to>
      <xdr:col>6</xdr:col>
      <xdr:colOff>228599</xdr:colOff>
      <xdr:row>38</xdr:row>
      <xdr:rowOff>76199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C898C8B-E97E-4E68-ABAE-3863A6B2C7DE}"/>
            </a:ext>
          </a:extLst>
        </xdr:cNvPr>
        <xdr:cNvSpPr>
          <a:spLocks/>
        </xdr:cNvSpPr>
      </xdr:nvSpPr>
      <xdr:spPr bwMode="auto">
        <a:xfrm>
          <a:off x="7522844" y="63036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7</xdr:row>
      <xdr:rowOff>95251</xdr:rowOff>
    </xdr:from>
    <xdr:to>
      <xdr:col>8</xdr:col>
      <xdr:colOff>219075</xdr:colOff>
      <xdr:row>16</xdr:row>
      <xdr:rowOff>38101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425CEAB3-1CB4-4A75-A927-51A265A21AB5}"/>
            </a:ext>
          </a:extLst>
        </xdr:cNvPr>
        <xdr:cNvSpPr>
          <a:spLocks/>
        </xdr:cNvSpPr>
      </xdr:nvSpPr>
      <xdr:spPr bwMode="auto">
        <a:xfrm>
          <a:off x="8513445" y="13754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27</xdr:row>
      <xdr:rowOff>95251</xdr:rowOff>
    </xdr:from>
    <xdr:to>
      <xdr:col>8</xdr:col>
      <xdr:colOff>219075</xdr:colOff>
      <xdr:row>36</xdr:row>
      <xdr:rowOff>38101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8B98CA08-59B2-4547-81DF-F193E659038E}"/>
            </a:ext>
          </a:extLst>
        </xdr:cNvPr>
        <xdr:cNvSpPr>
          <a:spLocks/>
        </xdr:cNvSpPr>
      </xdr:nvSpPr>
      <xdr:spPr bwMode="auto">
        <a:xfrm>
          <a:off x="8513445" y="50330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163285</xdr:colOff>
      <xdr:row>11</xdr:row>
      <xdr:rowOff>122464</xdr:rowOff>
    </xdr:from>
    <xdr:to>
      <xdr:col>10</xdr:col>
      <xdr:colOff>242454</xdr:colOff>
      <xdr:row>31</xdr:row>
      <xdr:rowOff>69273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B5B5966-295F-4B7C-B2EA-6BB0716C7640}"/>
            </a:ext>
          </a:extLst>
        </xdr:cNvPr>
        <xdr:cNvSpPr>
          <a:spLocks/>
        </xdr:cNvSpPr>
      </xdr:nvSpPr>
      <xdr:spPr bwMode="auto">
        <a:xfrm>
          <a:off x="9543505" y="2134144"/>
          <a:ext cx="79169" cy="3604409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D7A7C32-9928-454F-98E2-1BDCBCE3E2A4}"/>
            </a:ext>
          </a:extLst>
        </xdr:cNvPr>
        <xdr:cNvSpPr>
          <a:spLocks/>
        </xdr:cNvSpPr>
      </xdr:nvSpPr>
      <xdr:spPr bwMode="auto">
        <a:xfrm>
          <a:off x="372237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78B2343-22D9-4F9D-B1DF-3E05F1CEFE2D}"/>
            </a:ext>
          </a:extLst>
        </xdr:cNvPr>
        <xdr:cNvSpPr>
          <a:spLocks/>
        </xdr:cNvSpPr>
      </xdr:nvSpPr>
      <xdr:spPr bwMode="auto">
        <a:xfrm>
          <a:off x="372237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8</xdr:row>
      <xdr:rowOff>76200</xdr:rowOff>
    </xdr:from>
    <xdr:to>
      <xdr:col>2</xdr:col>
      <xdr:colOff>133350</xdr:colOff>
      <xdr:row>9</xdr:row>
      <xdr:rowOff>85725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8B0131C-1926-40D0-897E-E746026ACA66}"/>
            </a:ext>
          </a:extLst>
        </xdr:cNvPr>
        <xdr:cNvSpPr>
          <a:spLocks/>
        </xdr:cNvSpPr>
      </xdr:nvSpPr>
      <xdr:spPr bwMode="auto">
        <a:xfrm>
          <a:off x="3722370" y="153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10</xdr:row>
      <xdr:rowOff>76200</xdr:rowOff>
    </xdr:from>
    <xdr:to>
      <xdr:col>2</xdr:col>
      <xdr:colOff>133350</xdr:colOff>
      <xdr:row>11</xdr:row>
      <xdr:rowOff>85725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C412610-00D4-4DF7-9D5A-085EA3EE3A94}"/>
            </a:ext>
          </a:extLst>
        </xdr:cNvPr>
        <xdr:cNvSpPr>
          <a:spLocks/>
        </xdr:cNvSpPr>
      </xdr:nvSpPr>
      <xdr:spPr bwMode="auto">
        <a:xfrm>
          <a:off x="3722370" y="19050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13</xdr:row>
      <xdr:rowOff>76200</xdr:rowOff>
    </xdr:from>
    <xdr:to>
      <xdr:col>2</xdr:col>
      <xdr:colOff>133350</xdr:colOff>
      <xdr:row>14</xdr:row>
      <xdr:rowOff>85725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1C774E5-FFCC-4253-8951-BEBC25E77A96}"/>
            </a:ext>
          </a:extLst>
        </xdr:cNvPr>
        <xdr:cNvSpPr>
          <a:spLocks/>
        </xdr:cNvSpPr>
      </xdr:nvSpPr>
      <xdr:spPr bwMode="auto">
        <a:xfrm>
          <a:off x="3722370" y="24536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15</xdr:row>
      <xdr:rowOff>76200</xdr:rowOff>
    </xdr:from>
    <xdr:to>
      <xdr:col>2</xdr:col>
      <xdr:colOff>133350</xdr:colOff>
      <xdr:row>16</xdr:row>
      <xdr:rowOff>85725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08510A4-ECF4-4815-AE6E-04A6F7E0BCA5}"/>
            </a:ext>
          </a:extLst>
        </xdr:cNvPr>
        <xdr:cNvSpPr>
          <a:spLocks/>
        </xdr:cNvSpPr>
      </xdr:nvSpPr>
      <xdr:spPr bwMode="auto">
        <a:xfrm>
          <a:off x="3722370" y="28194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17</xdr:row>
      <xdr:rowOff>76200</xdr:rowOff>
    </xdr:from>
    <xdr:to>
      <xdr:col>2</xdr:col>
      <xdr:colOff>133350</xdr:colOff>
      <xdr:row>18</xdr:row>
      <xdr:rowOff>85725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FE74F2EF-760F-4C02-9033-5FDDFFF28EC3}"/>
            </a:ext>
          </a:extLst>
        </xdr:cNvPr>
        <xdr:cNvSpPr>
          <a:spLocks/>
        </xdr:cNvSpPr>
      </xdr:nvSpPr>
      <xdr:spPr bwMode="auto">
        <a:xfrm>
          <a:off x="3722370" y="31851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19</xdr:row>
      <xdr:rowOff>76200</xdr:rowOff>
    </xdr:from>
    <xdr:to>
      <xdr:col>2</xdr:col>
      <xdr:colOff>133350</xdr:colOff>
      <xdr:row>20</xdr:row>
      <xdr:rowOff>85725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8F2F9667-361C-41AA-A5F7-0AD1E64256AC}"/>
            </a:ext>
          </a:extLst>
        </xdr:cNvPr>
        <xdr:cNvSpPr>
          <a:spLocks/>
        </xdr:cNvSpPr>
      </xdr:nvSpPr>
      <xdr:spPr bwMode="auto">
        <a:xfrm>
          <a:off x="3722370" y="35509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24</xdr:row>
      <xdr:rowOff>76200</xdr:rowOff>
    </xdr:from>
    <xdr:to>
      <xdr:col>2</xdr:col>
      <xdr:colOff>133350</xdr:colOff>
      <xdr:row>25</xdr:row>
      <xdr:rowOff>85725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CF1E7E0-BAB8-4976-BE34-9424C0EF5716}"/>
            </a:ext>
          </a:extLst>
        </xdr:cNvPr>
        <xdr:cNvSpPr>
          <a:spLocks/>
        </xdr:cNvSpPr>
      </xdr:nvSpPr>
      <xdr:spPr bwMode="auto">
        <a:xfrm>
          <a:off x="3722370" y="44653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26</xdr:row>
      <xdr:rowOff>76200</xdr:rowOff>
    </xdr:from>
    <xdr:to>
      <xdr:col>2</xdr:col>
      <xdr:colOff>133350</xdr:colOff>
      <xdr:row>27</xdr:row>
      <xdr:rowOff>85725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203C86B-A8E8-4982-80A1-6C1F087DFBBA}"/>
            </a:ext>
          </a:extLst>
        </xdr:cNvPr>
        <xdr:cNvSpPr>
          <a:spLocks/>
        </xdr:cNvSpPr>
      </xdr:nvSpPr>
      <xdr:spPr bwMode="auto">
        <a:xfrm>
          <a:off x="3722370" y="48310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28</xdr:row>
      <xdr:rowOff>76200</xdr:rowOff>
    </xdr:from>
    <xdr:to>
      <xdr:col>2</xdr:col>
      <xdr:colOff>133350</xdr:colOff>
      <xdr:row>29</xdr:row>
      <xdr:rowOff>85725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B324A8B0-03C4-41E2-8915-3A4CF43AF8F1}"/>
            </a:ext>
          </a:extLst>
        </xdr:cNvPr>
        <xdr:cNvSpPr>
          <a:spLocks/>
        </xdr:cNvSpPr>
      </xdr:nvSpPr>
      <xdr:spPr bwMode="auto">
        <a:xfrm>
          <a:off x="3722370" y="51968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30</xdr:row>
      <xdr:rowOff>76200</xdr:rowOff>
    </xdr:from>
    <xdr:to>
      <xdr:col>2</xdr:col>
      <xdr:colOff>133350</xdr:colOff>
      <xdr:row>31</xdr:row>
      <xdr:rowOff>85725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FE0E2A3E-4FCA-46DB-8353-788C9BD6BD86}"/>
            </a:ext>
          </a:extLst>
        </xdr:cNvPr>
        <xdr:cNvSpPr>
          <a:spLocks/>
        </xdr:cNvSpPr>
      </xdr:nvSpPr>
      <xdr:spPr bwMode="auto">
        <a:xfrm>
          <a:off x="3722370" y="55626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33</xdr:row>
      <xdr:rowOff>76200</xdr:rowOff>
    </xdr:from>
    <xdr:to>
      <xdr:col>2</xdr:col>
      <xdr:colOff>133350</xdr:colOff>
      <xdr:row>34</xdr:row>
      <xdr:rowOff>85725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077DA2A-3F39-485F-A027-98BC9B73A501}"/>
            </a:ext>
          </a:extLst>
        </xdr:cNvPr>
        <xdr:cNvSpPr>
          <a:spLocks/>
        </xdr:cNvSpPr>
      </xdr:nvSpPr>
      <xdr:spPr bwMode="auto">
        <a:xfrm>
          <a:off x="3722370" y="6111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35</xdr:row>
      <xdr:rowOff>76200</xdr:rowOff>
    </xdr:from>
    <xdr:to>
      <xdr:col>2</xdr:col>
      <xdr:colOff>133350</xdr:colOff>
      <xdr:row>36</xdr:row>
      <xdr:rowOff>85725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88CFBF72-6D41-4ED0-8B29-724018BF7486}"/>
            </a:ext>
          </a:extLst>
        </xdr:cNvPr>
        <xdr:cNvSpPr>
          <a:spLocks/>
        </xdr:cNvSpPr>
      </xdr:nvSpPr>
      <xdr:spPr bwMode="auto">
        <a:xfrm>
          <a:off x="3722370" y="647700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37</xdr:row>
      <xdr:rowOff>76200</xdr:rowOff>
    </xdr:from>
    <xdr:to>
      <xdr:col>2</xdr:col>
      <xdr:colOff>133350</xdr:colOff>
      <xdr:row>38</xdr:row>
      <xdr:rowOff>85725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5DDC84F2-7091-40F4-8C5F-53E94FDB6683}"/>
            </a:ext>
          </a:extLst>
        </xdr:cNvPr>
        <xdr:cNvSpPr>
          <a:spLocks/>
        </xdr:cNvSpPr>
      </xdr:nvSpPr>
      <xdr:spPr bwMode="auto">
        <a:xfrm>
          <a:off x="3722370" y="684276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39</xdr:row>
      <xdr:rowOff>76200</xdr:rowOff>
    </xdr:from>
    <xdr:to>
      <xdr:col>2</xdr:col>
      <xdr:colOff>133350</xdr:colOff>
      <xdr:row>40</xdr:row>
      <xdr:rowOff>85725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A3540DA0-ED58-4011-9C00-624AA253F4C9}"/>
            </a:ext>
          </a:extLst>
        </xdr:cNvPr>
        <xdr:cNvSpPr>
          <a:spLocks/>
        </xdr:cNvSpPr>
      </xdr:nvSpPr>
      <xdr:spPr bwMode="auto">
        <a:xfrm>
          <a:off x="3722370" y="720852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4</xdr:row>
      <xdr:rowOff>109538</xdr:rowOff>
    </xdr:from>
    <xdr:to>
      <xdr:col>4</xdr:col>
      <xdr:colOff>238125</xdr:colOff>
      <xdr:row>6</xdr:row>
      <xdr:rowOff>138113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36DACC32-E032-4A4D-8F19-CBBB8F368F0D}"/>
            </a:ext>
          </a:extLst>
        </xdr:cNvPr>
        <xdr:cNvSpPr>
          <a:spLocks/>
        </xdr:cNvSpPr>
      </xdr:nvSpPr>
      <xdr:spPr bwMode="auto">
        <a:xfrm>
          <a:off x="465391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8</xdr:row>
      <xdr:rowOff>119063</xdr:rowOff>
    </xdr:from>
    <xdr:to>
      <xdr:col>4</xdr:col>
      <xdr:colOff>238125</xdr:colOff>
      <xdr:row>10</xdr:row>
      <xdr:rowOff>147638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CAE9BE8F-7A78-4E77-8CF4-B86900E18A3D}"/>
            </a:ext>
          </a:extLst>
        </xdr:cNvPr>
        <xdr:cNvSpPr>
          <a:spLocks/>
        </xdr:cNvSpPr>
      </xdr:nvSpPr>
      <xdr:spPr bwMode="auto">
        <a:xfrm>
          <a:off x="4653915" y="158210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13</xdr:row>
      <xdr:rowOff>109538</xdr:rowOff>
    </xdr:from>
    <xdr:to>
      <xdr:col>4</xdr:col>
      <xdr:colOff>238125</xdr:colOff>
      <xdr:row>15</xdr:row>
      <xdr:rowOff>138113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D58161B-1C09-490A-902A-53AA2B55E2CF}"/>
            </a:ext>
          </a:extLst>
        </xdr:cNvPr>
        <xdr:cNvSpPr>
          <a:spLocks/>
        </xdr:cNvSpPr>
      </xdr:nvSpPr>
      <xdr:spPr bwMode="auto">
        <a:xfrm>
          <a:off x="4653915" y="248697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17</xdr:row>
      <xdr:rowOff>119063</xdr:rowOff>
    </xdr:from>
    <xdr:to>
      <xdr:col>4</xdr:col>
      <xdr:colOff>238125</xdr:colOff>
      <xdr:row>19</xdr:row>
      <xdr:rowOff>147638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ACD33B7-A541-477D-BA44-AF877F5514E2}"/>
            </a:ext>
          </a:extLst>
        </xdr:cNvPr>
        <xdr:cNvSpPr>
          <a:spLocks/>
        </xdr:cNvSpPr>
      </xdr:nvSpPr>
      <xdr:spPr bwMode="auto">
        <a:xfrm>
          <a:off x="4653915" y="322802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24</xdr:row>
      <xdr:rowOff>85725</xdr:rowOff>
    </xdr:from>
    <xdr:to>
      <xdr:col>4</xdr:col>
      <xdr:colOff>238125</xdr:colOff>
      <xdr:row>26</xdr:row>
      <xdr:rowOff>114300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240A1DE-4B6C-4D8B-A9F1-96D1E345E83E}"/>
            </a:ext>
          </a:extLst>
        </xdr:cNvPr>
        <xdr:cNvSpPr>
          <a:spLocks/>
        </xdr:cNvSpPr>
      </xdr:nvSpPr>
      <xdr:spPr bwMode="auto">
        <a:xfrm>
          <a:off x="4653915" y="447484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28</xdr:row>
      <xdr:rowOff>95250</xdr:rowOff>
    </xdr:from>
    <xdr:to>
      <xdr:col>4</xdr:col>
      <xdr:colOff>238125</xdr:colOff>
      <xdr:row>30</xdr:row>
      <xdr:rowOff>123825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BB5158BF-92B6-424C-A06E-08FCA2B189A9}"/>
            </a:ext>
          </a:extLst>
        </xdr:cNvPr>
        <xdr:cNvSpPr>
          <a:spLocks/>
        </xdr:cNvSpPr>
      </xdr:nvSpPr>
      <xdr:spPr bwMode="auto">
        <a:xfrm>
          <a:off x="4653915" y="521589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33</xdr:row>
      <xdr:rowOff>85725</xdr:rowOff>
    </xdr:from>
    <xdr:to>
      <xdr:col>4</xdr:col>
      <xdr:colOff>238125</xdr:colOff>
      <xdr:row>35</xdr:row>
      <xdr:rowOff>114300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01C5E6E-3F5B-4E2A-84D9-5A487780810D}"/>
            </a:ext>
          </a:extLst>
        </xdr:cNvPr>
        <xdr:cNvSpPr>
          <a:spLocks/>
        </xdr:cNvSpPr>
      </xdr:nvSpPr>
      <xdr:spPr bwMode="auto">
        <a:xfrm>
          <a:off x="4653915" y="6120765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142875</xdr:colOff>
      <xdr:row>37</xdr:row>
      <xdr:rowOff>95250</xdr:rowOff>
    </xdr:from>
    <xdr:to>
      <xdr:col>4</xdr:col>
      <xdr:colOff>238125</xdr:colOff>
      <xdr:row>39</xdr:row>
      <xdr:rowOff>123825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83F8E74E-7966-4D4C-BD8F-69CC6A9415C9}"/>
            </a:ext>
          </a:extLst>
        </xdr:cNvPr>
        <xdr:cNvSpPr>
          <a:spLocks/>
        </xdr:cNvSpPr>
      </xdr:nvSpPr>
      <xdr:spPr bwMode="auto">
        <a:xfrm>
          <a:off x="4653915" y="6861810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5</xdr:row>
      <xdr:rowOff>85724</xdr:rowOff>
    </xdr:from>
    <xdr:to>
      <xdr:col>6</xdr:col>
      <xdr:colOff>228599</xdr:colOff>
      <xdr:row>9</xdr:row>
      <xdr:rowOff>76199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EAF99CD4-4730-4092-A06A-71561E826F88}"/>
            </a:ext>
          </a:extLst>
        </xdr:cNvPr>
        <xdr:cNvSpPr>
          <a:spLocks/>
        </xdr:cNvSpPr>
      </xdr:nvSpPr>
      <xdr:spPr bwMode="auto">
        <a:xfrm>
          <a:off x="5575934" y="10001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14</xdr:row>
      <xdr:rowOff>85724</xdr:rowOff>
    </xdr:from>
    <xdr:to>
      <xdr:col>6</xdr:col>
      <xdr:colOff>228599</xdr:colOff>
      <xdr:row>18</xdr:row>
      <xdr:rowOff>76199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5FD991B8-A763-4D57-823D-12835C302368}"/>
            </a:ext>
          </a:extLst>
        </xdr:cNvPr>
        <xdr:cNvSpPr>
          <a:spLocks/>
        </xdr:cNvSpPr>
      </xdr:nvSpPr>
      <xdr:spPr bwMode="auto">
        <a:xfrm>
          <a:off x="5575934" y="26460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25</xdr:row>
      <xdr:rowOff>85724</xdr:rowOff>
    </xdr:from>
    <xdr:to>
      <xdr:col>6</xdr:col>
      <xdr:colOff>228599</xdr:colOff>
      <xdr:row>29</xdr:row>
      <xdr:rowOff>76199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3205EE3-CB64-4531-A325-A80AB93F31D8}"/>
            </a:ext>
          </a:extLst>
        </xdr:cNvPr>
        <xdr:cNvSpPr>
          <a:spLocks/>
        </xdr:cNvSpPr>
      </xdr:nvSpPr>
      <xdr:spPr bwMode="auto">
        <a:xfrm>
          <a:off x="5575934" y="46577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142874</xdr:colOff>
      <xdr:row>34</xdr:row>
      <xdr:rowOff>85724</xdr:rowOff>
    </xdr:from>
    <xdr:to>
      <xdr:col>6</xdr:col>
      <xdr:colOff>228599</xdr:colOff>
      <xdr:row>38</xdr:row>
      <xdr:rowOff>76199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FC898C8B-E97E-4E68-ABAE-3863A6B2C7DE}"/>
            </a:ext>
          </a:extLst>
        </xdr:cNvPr>
        <xdr:cNvSpPr>
          <a:spLocks/>
        </xdr:cNvSpPr>
      </xdr:nvSpPr>
      <xdr:spPr bwMode="auto">
        <a:xfrm>
          <a:off x="5575934" y="630364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7</xdr:row>
      <xdr:rowOff>95251</xdr:rowOff>
    </xdr:from>
    <xdr:to>
      <xdr:col>8</xdr:col>
      <xdr:colOff>219075</xdr:colOff>
      <xdr:row>16</xdr:row>
      <xdr:rowOff>38101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25CEAB3-1CB4-4A75-A927-51A265A21AB5}"/>
            </a:ext>
          </a:extLst>
        </xdr:cNvPr>
        <xdr:cNvSpPr>
          <a:spLocks/>
        </xdr:cNvSpPr>
      </xdr:nvSpPr>
      <xdr:spPr bwMode="auto">
        <a:xfrm>
          <a:off x="6490335" y="13754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142875</xdr:colOff>
      <xdr:row>27</xdr:row>
      <xdr:rowOff>95251</xdr:rowOff>
    </xdr:from>
    <xdr:to>
      <xdr:col>8</xdr:col>
      <xdr:colOff>219075</xdr:colOff>
      <xdr:row>36</xdr:row>
      <xdr:rowOff>38101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B98CA08-59B2-4547-81DF-F193E659038E}"/>
            </a:ext>
          </a:extLst>
        </xdr:cNvPr>
        <xdr:cNvSpPr>
          <a:spLocks/>
        </xdr:cNvSpPr>
      </xdr:nvSpPr>
      <xdr:spPr bwMode="auto">
        <a:xfrm>
          <a:off x="6490335" y="5033011"/>
          <a:ext cx="76200" cy="1588770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163285</xdr:colOff>
      <xdr:row>11</xdr:row>
      <xdr:rowOff>122464</xdr:rowOff>
    </xdr:from>
    <xdr:to>
      <xdr:col>10</xdr:col>
      <xdr:colOff>242454</xdr:colOff>
      <xdr:row>31</xdr:row>
      <xdr:rowOff>69273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B5B5966-295F-4B7C-B2EA-6BB0716C7640}"/>
            </a:ext>
          </a:extLst>
        </xdr:cNvPr>
        <xdr:cNvSpPr>
          <a:spLocks/>
        </xdr:cNvSpPr>
      </xdr:nvSpPr>
      <xdr:spPr bwMode="auto">
        <a:xfrm>
          <a:off x="7432765" y="2134144"/>
          <a:ext cx="79169" cy="3604409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DDE4E7-71CE-4674-A8DE-076DCC38C953}"/>
            </a:ext>
          </a:extLst>
        </xdr:cNvPr>
        <xdr:cNvSpPr>
          <a:spLocks/>
        </xdr:cNvSpPr>
      </xdr:nvSpPr>
      <xdr:spPr bwMode="auto">
        <a:xfrm>
          <a:off x="127635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F05575D-97CF-4D2E-9DF4-9C3A08A73FB0}"/>
            </a:ext>
          </a:extLst>
        </xdr:cNvPr>
        <xdr:cNvSpPr>
          <a:spLocks/>
        </xdr:cNvSpPr>
      </xdr:nvSpPr>
      <xdr:spPr bwMode="auto">
        <a:xfrm>
          <a:off x="127635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8</xdr:row>
      <xdr:rowOff>76200</xdr:rowOff>
    </xdr:from>
    <xdr:to>
      <xdr:col>2</xdr:col>
      <xdr:colOff>133350</xdr:colOff>
      <xdr:row>9</xdr:row>
      <xdr:rowOff>85725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54CC784-2A1D-4060-9CC8-D93466846D3F}"/>
            </a:ext>
          </a:extLst>
        </xdr:cNvPr>
        <xdr:cNvSpPr>
          <a:spLocks/>
        </xdr:cNvSpPr>
      </xdr:nvSpPr>
      <xdr:spPr bwMode="auto">
        <a:xfrm>
          <a:off x="1276350" y="153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10</xdr:row>
      <xdr:rowOff>76200</xdr:rowOff>
    </xdr:from>
    <xdr:to>
      <xdr:col>2</xdr:col>
      <xdr:colOff>133350</xdr:colOff>
      <xdr:row>11</xdr:row>
      <xdr:rowOff>85725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3DACE79-1627-4E67-A105-3FB3112D787D}"/>
            </a:ext>
          </a:extLst>
        </xdr:cNvPr>
        <xdr:cNvSpPr>
          <a:spLocks/>
        </xdr:cNvSpPr>
      </xdr:nvSpPr>
      <xdr:spPr bwMode="auto">
        <a:xfrm>
          <a:off x="1276350" y="19050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85725</xdr:colOff>
      <xdr:row>4</xdr:row>
      <xdr:rowOff>109538</xdr:rowOff>
    </xdr:from>
    <xdr:to>
      <xdr:col>4</xdr:col>
      <xdr:colOff>180975</xdr:colOff>
      <xdr:row>6</xdr:row>
      <xdr:rowOff>138113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56B57A5-6C7A-4CC7-85BB-68ADC635E525}"/>
            </a:ext>
          </a:extLst>
        </xdr:cNvPr>
        <xdr:cNvSpPr>
          <a:spLocks/>
        </xdr:cNvSpPr>
      </xdr:nvSpPr>
      <xdr:spPr bwMode="auto">
        <a:xfrm>
          <a:off x="212788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85725</xdr:colOff>
      <xdr:row>8</xdr:row>
      <xdr:rowOff>119063</xdr:rowOff>
    </xdr:from>
    <xdr:to>
      <xdr:col>4</xdr:col>
      <xdr:colOff>180975</xdr:colOff>
      <xdr:row>10</xdr:row>
      <xdr:rowOff>147638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A9AE0502-0BD7-4B0A-87D8-D3037B60BD03}"/>
            </a:ext>
          </a:extLst>
        </xdr:cNvPr>
        <xdr:cNvSpPr>
          <a:spLocks/>
        </xdr:cNvSpPr>
      </xdr:nvSpPr>
      <xdr:spPr bwMode="auto">
        <a:xfrm>
          <a:off x="2127885" y="158210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85724</xdr:colOff>
      <xdr:row>5</xdr:row>
      <xdr:rowOff>85724</xdr:rowOff>
    </xdr:from>
    <xdr:to>
      <xdr:col>6</xdr:col>
      <xdr:colOff>171449</xdr:colOff>
      <xdr:row>9</xdr:row>
      <xdr:rowOff>76199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3C12788-88FC-4E50-B297-6B64E32C07CB}"/>
            </a:ext>
          </a:extLst>
        </xdr:cNvPr>
        <xdr:cNvSpPr>
          <a:spLocks/>
        </xdr:cNvSpPr>
      </xdr:nvSpPr>
      <xdr:spPr bwMode="auto">
        <a:xfrm>
          <a:off x="3034664" y="10001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1710745-BF52-41BF-A352-9AA65C906105}"/>
            </a:ext>
          </a:extLst>
        </xdr:cNvPr>
        <xdr:cNvSpPr>
          <a:spLocks/>
        </xdr:cNvSpPr>
      </xdr:nvSpPr>
      <xdr:spPr bwMode="auto">
        <a:xfrm>
          <a:off x="264033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083ABF6-E3E1-4F9C-8092-5C1997BBC95D}"/>
            </a:ext>
          </a:extLst>
        </xdr:cNvPr>
        <xdr:cNvSpPr>
          <a:spLocks/>
        </xdr:cNvSpPr>
      </xdr:nvSpPr>
      <xdr:spPr bwMode="auto">
        <a:xfrm>
          <a:off x="435483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8</xdr:row>
      <xdr:rowOff>76200</xdr:rowOff>
    </xdr:from>
    <xdr:to>
      <xdr:col>2</xdr:col>
      <xdr:colOff>133350</xdr:colOff>
      <xdr:row>9</xdr:row>
      <xdr:rowOff>85725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5C49CE15-91A9-4724-B194-9CE9D79A3BC3}"/>
            </a:ext>
          </a:extLst>
        </xdr:cNvPr>
        <xdr:cNvSpPr>
          <a:spLocks/>
        </xdr:cNvSpPr>
      </xdr:nvSpPr>
      <xdr:spPr bwMode="auto">
        <a:xfrm>
          <a:off x="4354830" y="153924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10</xdr:row>
      <xdr:rowOff>76200</xdr:rowOff>
    </xdr:from>
    <xdr:to>
      <xdr:col>2</xdr:col>
      <xdr:colOff>133350</xdr:colOff>
      <xdr:row>11</xdr:row>
      <xdr:rowOff>85725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5BCCD550-1B5A-4D97-B686-EB52FE02E4BE}"/>
            </a:ext>
          </a:extLst>
        </xdr:cNvPr>
        <xdr:cNvSpPr>
          <a:spLocks/>
        </xdr:cNvSpPr>
      </xdr:nvSpPr>
      <xdr:spPr bwMode="auto">
        <a:xfrm>
          <a:off x="4354830" y="1905000"/>
          <a:ext cx="76200" cy="192405"/>
        </a:xfrm>
        <a:prstGeom prst="rightBrace">
          <a:avLst>
            <a:gd name="adj1" fmla="val 1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85725</xdr:colOff>
      <xdr:row>4</xdr:row>
      <xdr:rowOff>109538</xdr:rowOff>
    </xdr:from>
    <xdr:to>
      <xdr:col>4</xdr:col>
      <xdr:colOff>180975</xdr:colOff>
      <xdr:row>6</xdr:row>
      <xdr:rowOff>138113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F28D215-232D-4D83-AA87-63157F0D3C2B}"/>
            </a:ext>
          </a:extLst>
        </xdr:cNvPr>
        <xdr:cNvSpPr>
          <a:spLocks/>
        </xdr:cNvSpPr>
      </xdr:nvSpPr>
      <xdr:spPr bwMode="auto">
        <a:xfrm>
          <a:off x="520636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85725</xdr:colOff>
      <xdr:row>8</xdr:row>
      <xdr:rowOff>119063</xdr:rowOff>
    </xdr:from>
    <xdr:to>
      <xdr:col>4</xdr:col>
      <xdr:colOff>180975</xdr:colOff>
      <xdr:row>10</xdr:row>
      <xdr:rowOff>147638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34D0CA8-77F9-41EE-9AA7-58B780CA31D2}"/>
            </a:ext>
          </a:extLst>
        </xdr:cNvPr>
        <xdr:cNvSpPr>
          <a:spLocks/>
        </xdr:cNvSpPr>
      </xdr:nvSpPr>
      <xdr:spPr bwMode="auto">
        <a:xfrm>
          <a:off x="5206365" y="1582103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85724</xdr:colOff>
      <xdr:row>5</xdr:row>
      <xdr:rowOff>85724</xdr:rowOff>
    </xdr:from>
    <xdr:to>
      <xdr:col>6</xdr:col>
      <xdr:colOff>171449</xdr:colOff>
      <xdr:row>9</xdr:row>
      <xdr:rowOff>76199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1B322CD-78EC-49EC-9DF5-F429A41AD620}"/>
            </a:ext>
          </a:extLst>
        </xdr:cNvPr>
        <xdr:cNvSpPr>
          <a:spLocks/>
        </xdr:cNvSpPr>
      </xdr:nvSpPr>
      <xdr:spPr bwMode="auto">
        <a:xfrm>
          <a:off x="6113144" y="1000124"/>
          <a:ext cx="85725" cy="72199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76200</xdr:rowOff>
    </xdr:from>
    <xdr:to>
      <xdr:col>2</xdr:col>
      <xdr:colOff>133350</xdr:colOff>
      <xdr:row>5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2580083-11A9-4BC4-AB14-01FDEC0C6B2F}"/>
            </a:ext>
          </a:extLst>
        </xdr:cNvPr>
        <xdr:cNvSpPr>
          <a:spLocks/>
        </xdr:cNvSpPr>
      </xdr:nvSpPr>
      <xdr:spPr bwMode="auto">
        <a:xfrm>
          <a:off x="2640330" y="80772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</xdr:colOff>
      <xdr:row>6</xdr:row>
      <xdr:rowOff>76200</xdr:rowOff>
    </xdr:from>
    <xdr:to>
      <xdr:col>2</xdr:col>
      <xdr:colOff>133350</xdr:colOff>
      <xdr:row>7</xdr:row>
      <xdr:rowOff>85725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2F30DC07-0B04-48CF-8D51-F7CDDD7ED88F}"/>
            </a:ext>
          </a:extLst>
        </xdr:cNvPr>
        <xdr:cNvSpPr>
          <a:spLocks/>
        </xdr:cNvSpPr>
      </xdr:nvSpPr>
      <xdr:spPr bwMode="auto">
        <a:xfrm>
          <a:off x="2640330" y="1173480"/>
          <a:ext cx="76200" cy="19240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85725</xdr:colOff>
      <xdr:row>4</xdr:row>
      <xdr:rowOff>109538</xdr:rowOff>
    </xdr:from>
    <xdr:to>
      <xdr:col>4</xdr:col>
      <xdr:colOff>180975</xdr:colOff>
      <xdr:row>6</xdr:row>
      <xdr:rowOff>138113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88517FB-064F-4A34-B748-8A133155557D}"/>
            </a:ext>
          </a:extLst>
        </xdr:cNvPr>
        <xdr:cNvSpPr>
          <a:spLocks/>
        </xdr:cNvSpPr>
      </xdr:nvSpPr>
      <xdr:spPr bwMode="auto">
        <a:xfrm>
          <a:off x="3491865" y="841058"/>
          <a:ext cx="95250" cy="394335"/>
        </a:xfrm>
        <a:prstGeom prst="rightBrace">
          <a:avLst>
            <a:gd name="adj1" fmla="val 21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zoomScaleNormal="100" workbookViewId="0">
      <selection activeCell="J32" sqref="J32"/>
    </sheetView>
  </sheetViews>
  <sheetFormatPr defaultRowHeight="14.25"/>
  <cols>
    <col min="2" max="2" width="60.25" bestFit="1" customWidth="1"/>
    <col min="3" max="3" width="3.375" customWidth="1"/>
    <col min="5" max="5" width="4.625" customWidth="1"/>
    <col min="7" max="7" width="4.375" customWidth="1"/>
    <col min="8" max="8" width="27.75" bestFit="1" customWidth="1"/>
    <col min="9" max="9" width="4.625" customWidth="1"/>
    <col min="10" max="10" width="31" bestFit="1" customWidth="1"/>
    <col min="11" max="11" width="4.875" customWidth="1"/>
    <col min="13" max="13" width="4.875" customWidth="1"/>
  </cols>
  <sheetData>
    <row r="1" spans="1:13">
      <c r="A1" t="s">
        <v>113</v>
      </c>
      <c r="C1" s="1"/>
      <c r="I1" t="s">
        <v>9</v>
      </c>
      <c r="K1" t="s">
        <v>10</v>
      </c>
      <c r="M1" t="s">
        <v>11</v>
      </c>
    </row>
    <row r="2" spans="1:13">
      <c r="C2" s="1"/>
    </row>
    <row r="3" spans="1:13">
      <c r="A3" t="s">
        <v>0</v>
      </c>
      <c r="C3" s="1"/>
    </row>
    <row r="4" spans="1:13">
      <c r="C4" s="1"/>
    </row>
    <row r="5" spans="1:13">
      <c r="A5">
        <v>1</v>
      </c>
      <c r="B5" s="6" t="s">
        <v>114</v>
      </c>
      <c r="C5" s="1"/>
    </row>
    <row r="6" spans="1:13">
      <c r="A6">
        <v>2</v>
      </c>
      <c r="B6" t="s">
        <v>30</v>
      </c>
      <c r="C6" s="1"/>
    </row>
    <row r="7" spans="1:13">
      <c r="A7">
        <v>3</v>
      </c>
      <c r="B7" t="s">
        <v>13</v>
      </c>
      <c r="C7" s="1"/>
    </row>
    <row r="8" spans="1:13">
      <c r="A8">
        <v>4</v>
      </c>
      <c r="B8" t="s">
        <v>14</v>
      </c>
      <c r="C8" s="1"/>
      <c r="H8" s="3" t="s">
        <v>54</v>
      </c>
    </row>
    <row r="9" spans="1:13">
      <c r="A9">
        <v>5</v>
      </c>
      <c r="B9" t="s">
        <v>38</v>
      </c>
      <c r="C9" s="1"/>
    </row>
    <row r="10" spans="1:13">
      <c r="A10">
        <v>6</v>
      </c>
      <c r="B10" t="s">
        <v>41</v>
      </c>
      <c r="C10" s="1"/>
    </row>
    <row r="11" spans="1:13">
      <c r="A11">
        <v>7</v>
      </c>
      <c r="B11" t="s">
        <v>35</v>
      </c>
      <c r="C11" s="1"/>
    </row>
    <row r="12" spans="1:13">
      <c r="A12">
        <v>8</v>
      </c>
      <c r="B12" s="3" t="s">
        <v>54</v>
      </c>
      <c r="C12" s="1"/>
      <c r="J12" s="3" t="s">
        <v>56</v>
      </c>
    </row>
    <row r="13" spans="1:13">
      <c r="C13" s="1"/>
    </row>
    <row r="14" spans="1:13">
      <c r="A14">
        <v>9</v>
      </c>
      <c r="B14" s="3" t="s">
        <v>56</v>
      </c>
      <c r="C14" s="1"/>
    </row>
    <row r="15" spans="1:13">
      <c r="A15">
        <v>10</v>
      </c>
      <c r="B15" s="7" t="s">
        <v>115</v>
      </c>
      <c r="C15" s="1"/>
    </row>
    <row r="16" spans="1:13">
      <c r="A16">
        <v>11</v>
      </c>
      <c r="B16" t="s">
        <v>36</v>
      </c>
      <c r="C16" s="1"/>
    </row>
    <row r="17" spans="1:10">
      <c r="A17">
        <v>12</v>
      </c>
      <c r="B17" t="s">
        <v>42</v>
      </c>
      <c r="C17" s="1"/>
      <c r="H17" s="3" t="s">
        <v>56</v>
      </c>
    </row>
    <row r="18" spans="1:10">
      <c r="A18">
        <v>13</v>
      </c>
      <c r="B18" t="s">
        <v>43</v>
      </c>
      <c r="C18" s="1"/>
    </row>
    <row r="19" spans="1:10">
      <c r="A19">
        <v>14</v>
      </c>
      <c r="B19" t="s">
        <v>18</v>
      </c>
      <c r="C19" s="1"/>
    </row>
    <row r="20" spans="1:10">
      <c r="A20">
        <v>15</v>
      </c>
      <c r="B20" t="s">
        <v>14</v>
      </c>
      <c r="C20" s="1"/>
    </row>
    <row r="21" spans="1:10">
      <c r="A21">
        <v>16</v>
      </c>
      <c r="B21" s="3" t="s">
        <v>57</v>
      </c>
      <c r="C21" s="1"/>
    </row>
    <row r="22" spans="1:10">
      <c r="C22" s="1"/>
    </row>
    <row r="23" spans="1:10">
      <c r="A23" t="s">
        <v>2</v>
      </c>
    </row>
    <row r="25" spans="1:10">
      <c r="A25">
        <v>17</v>
      </c>
      <c r="B25" s="3" t="s">
        <v>59</v>
      </c>
      <c r="C25" s="1"/>
    </row>
    <row r="26" spans="1:10">
      <c r="A26">
        <v>18</v>
      </c>
      <c r="B26" t="s">
        <v>16</v>
      </c>
      <c r="C26" s="1"/>
    </row>
    <row r="27" spans="1:10">
      <c r="A27">
        <v>19</v>
      </c>
      <c r="B27" t="s">
        <v>19</v>
      </c>
      <c r="C27" s="1"/>
    </row>
    <row r="28" spans="1:10">
      <c r="A28">
        <v>20</v>
      </c>
      <c r="B28" t="s">
        <v>17</v>
      </c>
      <c r="C28" s="1"/>
      <c r="H28" s="3" t="s">
        <v>59</v>
      </c>
    </row>
    <row r="29" spans="1:10">
      <c r="A29">
        <v>21</v>
      </c>
      <c r="B29" t="s">
        <v>60</v>
      </c>
      <c r="C29" s="1"/>
    </row>
    <row r="30" spans="1:10">
      <c r="A30">
        <v>22</v>
      </c>
      <c r="B30" s="7" t="s">
        <v>131</v>
      </c>
      <c r="C30" s="1"/>
    </row>
    <row r="31" spans="1:10">
      <c r="A31">
        <v>23</v>
      </c>
      <c r="B31" t="s">
        <v>39</v>
      </c>
      <c r="C31" s="1"/>
    </row>
    <row r="32" spans="1:10">
      <c r="A32">
        <v>24</v>
      </c>
      <c r="B32" t="s">
        <v>67</v>
      </c>
      <c r="C32" s="1"/>
      <c r="J32" s="3" t="s">
        <v>66</v>
      </c>
    </row>
    <row r="34" spans="1:8">
      <c r="A34">
        <v>25</v>
      </c>
      <c r="B34" t="s">
        <v>130</v>
      </c>
      <c r="C34" s="1"/>
    </row>
    <row r="35" spans="1:8">
      <c r="A35">
        <v>26</v>
      </c>
      <c r="B35" t="s">
        <v>44</v>
      </c>
      <c r="C35" s="1"/>
    </row>
    <row r="36" spans="1:8">
      <c r="A36">
        <v>27</v>
      </c>
      <c r="B36" t="s">
        <v>37</v>
      </c>
      <c r="C36" s="1"/>
    </row>
    <row r="37" spans="1:8">
      <c r="A37">
        <v>28</v>
      </c>
      <c r="B37" t="s">
        <v>40</v>
      </c>
      <c r="C37" s="1"/>
      <c r="H37" s="3" t="s">
        <v>66</v>
      </c>
    </row>
    <row r="38" spans="1:8">
      <c r="A38">
        <v>29</v>
      </c>
      <c r="B38" t="s">
        <v>45</v>
      </c>
      <c r="C38" s="1"/>
    </row>
    <row r="39" spans="1:8">
      <c r="A39">
        <v>30</v>
      </c>
      <c r="B39" t="s">
        <v>46</v>
      </c>
      <c r="C39" s="1"/>
    </row>
    <row r="40" spans="1:8">
      <c r="A40">
        <v>31</v>
      </c>
      <c r="B40" s="7" t="s">
        <v>116</v>
      </c>
      <c r="C40" s="1"/>
    </row>
    <row r="41" spans="1:8">
      <c r="A41">
        <v>32</v>
      </c>
      <c r="B41" s="3" t="s">
        <v>66</v>
      </c>
      <c r="C41" s="1"/>
    </row>
    <row r="42" spans="1:8">
      <c r="C42" s="1"/>
    </row>
    <row r="43" spans="1:8">
      <c r="A43" t="s">
        <v>3</v>
      </c>
    </row>
    <row r="45" spans="1:8">
      <c r="A45">
        <v>33</v>
      </c>
      <c r="B45" s="3" t="s">
        <v>63</v>
      </c>
      <c r="C45" s="1"/>
    </row>
    <row r="46" spans="1:8">
      <c r="A46">
        <v>34</v>
      </c>
      <c r="B46" s="7" t="s">
        <v>117</v>
      </c>
      <c r="C46" s="1"/>
    </row>
    <row r="47" spans="1:8">
      <c r="A47">
        <v>35</v>
      </c>
      <c r="B47" t="s">
        <v>21</v>
      </c>
      <c r="C47" s="1"/>
    </row>
    <row r="48" spans="1:8">
      <c r="A48">
        <v>36</v>
      </c>
      <c r="B48" t="s">
        <v>47</v>
      </c>
      <c r="C48" s="1"/>
      <c r="H48" s="3" t="s">
        <v>62</v>
      </c>
    </row>
    <row r="49" spans="1:10">
      <c r="A49">
        <v>37</v>
      </c>
      <c r="B49" s="7" t="s">
        <v>136</v>
      </c>
      <c r="C49" s="1"/>
    </row>
    <row r="50" spans="1:10">
      <c r="A50">
        <v>38</v>
      </c>
      <c r="B50" t="s">
        <v>49</v>
      </c>
      <c r="C50" s="1"/>
    </row>
    <row r="51" spans="1:10">
      <c r="A51">
        <v>39</v>
      </c>
      <c r="B51" t="s">
        <v>20</v>
      </c>
      <c r="C51" s="1"/>
    </row>
    <row r="52" spans="1:10">
      <c r="A52">
        <v>40</v>
      </c>
      <c r="B52" s="3" t="s">
        <v>62</v>
      </c>
      <c r="C52" s="1"/>
    </row>
    <row r="53" spans="1:10">
      <c r="C53" s="1"/>
      <c r="J53" s="3" t="s">
        <v>62</v>
      </c>
    </row>
    <row r="54" spans="1:10">
      <c r="A54">
        <v>41</v>
      </c>
      <c r="B54" s="3" t="s">
        <v>55</v>
      </c>
      <c r="C54" s="1"/>
    </row>
    <row r="55" spans="1:10">
      <c r="A55">
        <v>42</v>
      </c>
      <c r="B55" t="s">
        <v>23</v>
      </c>
      <c r="C55" s="1"/>
    </row>
    <row r="56" spans="1:10">
      <c r="A56">
        <v>43</v>
      </c>
      <c r="B56" t="s">
        <v>48</v>
      </c>
      <c r="C56" s="1"/>
    </row>
    <row r="57" spans="1:10">
      <c r="A57">
        <v>44</v>
      </c>
      <c r="B57" t="s">
        <v>50</v>
      </c>
      <c r="C57" s="1"/>
      <c r="H57" s="3" t="s">
        <v>58</v>
      </c>
    </row>
    <row r="58" spans="1:10">
      <c r="A58">
        <v>45</v>
      </c>
      <c r="B58" t="s">
        <v>51</v>
      </c>
      <c r="C58" s="1"/>
    </row>
    <row r="59" spans="1:10">
      <c r="A59">
        <v>46</v>
      </c>
      <c r="B59" t="s">
        <v>15</v>
      </c>
      <c r="C59" s="1"/>
    </row>
    <row r="60" spans="1:10">
      <c r="A60">
        <v>47</v>
      </c>
      <c r="B60" t="s">
        <v>52</v>
      </c>
      <c r="C60" s="1"/>
    </row>
    <row r="61" spans="1:10">
      <c r="A61">
        <v>48</v>
      </c>
      <c r="B61" s="3" t="s">
        <v>58</v>
      </c>
      <c r="C61" s="1"/>
    </row>
    <row r="63" spans="1:10">
      <c r="A63" t="s">
        <v>4</v>
      </c>
    </row>
    <row r="65" spans="1:10">
      <c r="A65">
        <v>49</v>
      </c>
      <c r="B65" s="3" t="s">
        <v>61</v>
      </c>
      <c r="C65" s="1"/>
    </row>
    <row r="66" spans="1:10">
      <c r="A66">
        <v>50</v>
      </c>
      <c r="B66" t="s">
        <v>29</v>
      </c>
      <c r="C66" s="1"/>
    </row>
    <row r="67" spans="1:10">
      <c r="A67">
        <v>51</v>
      </c>
      <c r="B67" t="s">
        <v>25</v>
      </c>
      <c r="C67" s="1"/>
    </row>
    <row r="68" spans="1:10">
      <c r="A68">
        <v>52</v>
      </c>
      <c r="B68" t="s">
        <v>24</v>
      </c>
      <c r="C68" s="1"/>
      <c r="H68" t="s">
        <v>65</v>
      </c>
    </row>
    <row r="69" spans="1:10">
      <c r="A69">
        <v>53</v>
      </c>
      <c r="B69" t="s">
        <v>32</v>
      </c>
      <c r="C69" s="1"/>
    </row>
    <row r="70" spans="1:10">
      <c r="A70">
        <v>54</v>
      </c>
      <c r="B70" t="s">
        <v>31</v>
      </c>
      <c r="C70" s="1"/>
    </row>
    <row r="71" spans="1:10">
      <c r="A71">
        <v>55</v>
      </c>
      <c r="B71" s="7" t="s">
        <v>118</v>
      </c>
      <c r="C71" s="1"/>
    </row>
    <row r="72" spans="1:10">
      <c r="A72">
        <v>56</v>
      </c>
      <c r="B72" t="s">
        <v>65</v>
      </c>
      <c r="C72" s="1"/>
    </row>
    <row r="73" spans="1:10">
      <c r="C73" s="1"/>
      <c r="J73" s="2" t="s">
        <v>53</v>
      </c>
    </row>
    <row r="74" spans="1:10">
      <c r="A74">
        <v>57</v>
      </c>
      <c r="B74" s="3" t="s">
        <v>64</v>
      </c>
      <c r="C74" s="1"/>
    </row>
    <row r="75" spans="1:10">
      <c r="A75">
        <v>58</v>
      </c>
      <c r="B75" t="s">
        <v>34</v>
      </c>
      <c r="C75" s="1"/>
    </row>
    <row r="76" spans="1:10">
      <c r="A76">
        <v>59</v>
      </c>
      <c r="B76" t="s">
        <v>27</v>
      </c>
      <c r="C76" s="1"/>
    </row>
    <row r="77" spans="1:10">
      <c r="A77">
        <v>60</v>
      </c>
      <c r="B77" t="s">
        <v>26</v>
      </c>
      <c r="C77" s="1"/>
      <c r="H77" s="2" t="s">
        <v>53</v>
      </c>
    </row>
    <row r="78" spans="1:10">
      <c r="A78">
        <v>61</v>
      </c>
      <c r="B78" t="s">
        <v>22</v>
      </c>
      <c r="C78" s="1"/>
    </row>
    <row r="79" spans="1:10">
      <c r="A79">
        <v>62</v>
      </c>
      <c r="B79" t="s">
        <v>28</v>
      </c>
      <c r="C79" s="1"/>
    </row>
    <row r="80" spans="1:10">
      <c r="A80">
        <v>63</v>
      </c>
      <c r="B80" t="s">
        <v>33</v>
      </c>
      <c r="C80" s="1"/>
    </row>
    <row r="81" spans="1:3">
      <c r="A81">
        <v>64</v>
      </c>
      <c r="B81" s="2" t="s">
        <v>53</v>
      </c>
      <c r="C8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O29"/>
  <sheetViews>
    <sheetView tabSelected="1" topLeftCell="C10" workbookViewId="0">
      <selection activeCell="N14" sqref="N14"/>
    </sheetView>
  </sheetViews>
  <sheetFormatPr defaultRowHeight="14.25"/>
  <cols>
    <col min="2" max="2" width="19.25" bestFit="1" customWidth="1"/>
    <col min="5" max="5" width="19.25" bestFit="1" customWidth="1"/>
    <col min="6" max="6" width="21" bestFit="1" customWidth="1"/>
    <col min="10" max="10" width="26" style="10" bestFit="1" customWidth="1"/>
    <col min="11" max="11" width="18.75" bestFit="1" customWidth="1"/>
    <col min="12" max="12" width="19.25" bestFit="1" customWidth="1"/>
    <col min="13" max="13" width="5.625" bestFit="1" customWidth="1"/>
    <col min="14" max="14" width="19.5" customWidth="1"/>
    <col min="15" max="15" width="21.25" bestFit="1" customWidth="1"/>
  </cols>
  <sheetData>
    <row r="11" spans="5:11">
      <c r="J11" s="11" t="s">
        <v>145</v>
      </c>
      <c r="K11" s="12" t="s">
        <v>144</v>
      </c>
    </row>
    <row r="12" spans="5:11" ht="42.75">
      <c r="E12" s="8" t="s">
        <v>119</v>
      </c>
      <c r="F12" s="8" t="s">
        <v>120</v>
      </c>
      <c r="G12" s="9" t="s">
        <v>128</v>
      </c>
      <c r="J12" s="13" t="s">
        <v>141</v>
      </c>
      <c r="K12" s="14">
        <v>0.66666666666666663</v>
      </c>
    </row>
    <row r="13" spans="5:11" ht="42.75">
      <c r="E13" s="9" t="s">
        <v>123</v>
      </c>
      <c r="F13" s="9" t="s">
        <v>121</v>
      </c>
      <c r="G13" s="9" t="s">
        <v>129</v>
      </c>
      <c r="J13" s="13" t="s">
        <v>140</v>
      </c>
      <c r="K13" s="12" t="s">
        <v>146</v>
      </c>
    </row>
    <row r="14" spans="5:11" ht="42.75">
      <c r="E14" s="9" t="s">
        <v>122</v>
      </c>
      <c r="F14" s="9" t="s">
        <v>124</v>
      </c>
      <c r="G14" s="9" t="s">
        <v>132</v>
      </c>
      <c r="J14" s="13" t="s">
        <v>142</v>
      </c>
      <c r="K14" s="12" t="s">
        <v>147</v>
      </c>
    </row>
    <row r="15" spans="5:11" ht="42.75">
      <c r="E15" s="9" t="s">
        <v>125</v>
      </c>
      <c r="F15" s="9" t="s">
        <v>126</v>
      </c>
      <c r="G15" s="9" t="s">
        <v>133</v>
      </c>
      <c r="J15" s="11" t="s">
        <v>143</v>
      </c>
      <c r="K15" s="12" t="s">
        <v>148</v>
      </c>
    </row>
    <row r="16" spans="5:11">
      <c r="E16" s="9" t="s">
        <v>127</v>
      </c>
      <c r="F16" s="9" t="s">
        <v>135</v>
      </c>
      <c r="G16" s="9" t="s">
        <v>134</v>
      </c>
    </row>
    <row r="20" spans="2:15" ht="15" thickBot="1"/>
    <row r="21" spans="2:15" ht="18" thickBot="1">
      <c r="C21" t="s">
        <v>163</v>
      </c>
      <c r="D21" t="s">
        <v>164</v>
      </c>
      <c r="E21" t="s">
        <v>165</v>
      </c>
      <c r="F21" t="s">
        <v>166</v>
      </c>
      <c r="G21" t="s">
        <v>168</v>
      </c>
      <c r="H21" t="s">
        <v>170</v>
      </c>
      <c r="J21" s="16" t="s">
        <v>151</v>
      </c>
      <c r="K21" s="17" t="s">
        <v>152</v>
      </c>
      <c r="L21" s="17" t="s">
        <v>153</v>
      </c>
      <c r="M21" s="17" t="s">
        <v>154</v>
      </c>
      <c r="N21" s="17" t="s">
        <v>155</v>
      </c>
      <c r="O21" s="17" t="s">
        <v>171</v>
      </c>
    </row>
    <row r="22" spans="2:15">
      <c r="B22" t="s">
        <v>150</v>
      </c>
      <c r="C22">
        <v>14</v>
      </c>
      <c r="D22">
        <v>14</v>
      </c>
      <c r="F22">
        <v>6</v>
      </c>
      <c r="G22">
        <v>13</v>
      </c>
      <c r="H22">
        <f>SUM(C22:G22)</f>
        <v>47</v>
      </c>
      <c r="J22" s="10">
        <v>1</v>
      </c>
      <c r="K22">
        <v>19242</v>
      </c>
      <c r="L22" t="s">
        <v>156</v>
      </c>
      <c r="N22">
        <v>47</v>
      </c>
      <c r="O22">
        <f>SUM(N22*15)</f>
        <v>705</v>
      </c>
    </row>
    <row r="23" spans="2:15">
      <c r="B23" t="s">
        <v>157</v>
      </c>
      <c r="C23">
        <v>14</v>
      </c>
      <c r="D23">
        <v>14</v>
      </c>
      <c r="H23">
        <f t="shared" ref="H23:H28" si="0">SUM(C23:G23)</f>
        <v>28</v>
      </c>
      <c r="J23" s="10">
        <v>2</v>
      </c>
      <c r="K23">
        <v>13343</v>
      </c>
      <c r="L23" t="s">
        <v>157</v>
      </c>
      <c r="N23">
        <v>28</v>
      </c>
      <c r="O23">
        <f t="shared" ref="O23:O29" si="1">SUM(N23*15)</f>
        <v>420</v>
      </c>
    </row>
    <row r="24" spans="2:15">
      <c r="B24" t="s">
        <v>158</v>
      </c>
      <c r="C24">
        <v>14</v>
      </c>
      <c r="D24">
        <v>14</v>
      </c>
      <c r="H24">
        <f t="shared" si="0"/>
        <v>28</v>
      </c>
      <c r="J24" s="10">
        <v>3</v>
      </c>
      <c r="K24">
        <v>24891</v>
      </c>
      <c r="L24" t="s">
        <v>158</v>
      </c>
      <c r="N24">
        <v>28</v>
      </c>
      <c r="O24">
        <f t="shared" si="1"/>
        <v>420</v>
      </c>
    </row>
    <row r="25" spans="2:15">
      <c r="B25" t="s">
        <v>159</v>
      </c>
      <c r="C25">
        <v>14</v>
      </c>
      <c r="D25">
        <v>14</v>
      </c>
      <c r="E25">
        <v>6</v>
      </c>
      <c r="H25">
        <f t="shared" si="0"/>
        <v>34</v>
      </c>
      <c r="J25" s="10">
        <v>4</v>
      </c>
      <c r="K25">
        <v>22659</v>
      </c>
      <c r="L25" t="s">
        <v>159</v>
      </c>
      <c r="N25">
        <v>36</v>
      </c>
      <c r="O25">
        <f t="shared" si="1"/>
        <v>540</v>
      </c>
    </row>
    <row r="26" spans="2:15">
      <c r="B26" t="s">
        <v>160</v>
      </c>
      <c r="C26">
        <v>7</v>
      </c>
      <c r="D26">
        <v>7</v>
      </c>
      <c r="H26">
        <f t="shared" si="0"/>
        <v>14</v>
      </c>
      <c r="J26" s="10">
        <v>5</v>
      </c>
      <c r="K26">
        <v>24628</v>
      </c>
      <c r="L26" t="s">
        <v>167</v>
      </c>
      <c r="N26">
        <v>14</v>
      </c>
      <c r="O26">
        <f t="shared" si="1"/>
        <v>210</v>
      </c>
    </row>
    <row r="27" spans="2:15">
      <c r="B27" t="s">
        <v>161</v>
      </c>
      <c r="C27">
        <v>3</v>
      </c>
      <c r="D27">
        <v>5</v>
      </c>
      <c r="H27">
        <f t="shared" si="0"/>
        <v>8</v>
      </c>
      <c r="J27" s="10">
        <v>6</v>
      </c>
      <c r="K27">
        <v>24414</v>
      </c>
      <c r="L27" t="s">
        <v>161</v>
      </c>
      <c r="N27">
        <v>8</v>
      </c>
      <c r="O27">
        <f t="shared" si="1"/>
        <v>120</v>
      </c>
    </row>
    <row r="28" spans="2:15">
      <c r="B28" t="s">
        <v>162</v>
      </c>
      <c r="C28">
        <v>3</v>
      </c>
      <c r="D28">
        <v>5</v>
      </c>
      <c r="H28">
        <f t="shared" si="0"/>
        <v>8</v>
      </c>
      <c r="J28" s="10">
        <v>7</v>
      </c>
      <c r="K28">
        <v>28814</v>
      </c>
      <c r="L28" t="s">
        <v>162</v>
      </c>
      <c r="N28">
        <v>8</v>
      </c>
      <c r="O28">
        <f t="shared" si="1"/>
        <v>120</v>
      </c>
    </row>
    <row r="29" spans="2:15">
      <c r="J29" s="10">
        <v>8</v>
      </c>
      <c r="K29">
        <v>29160</v>
      </c>
      <c r="L29" t="s">
        <v>169</v>
      </c>
      <c r="N29">
        <v>29</v>
      </c>
      <c r="O29">
        <f t="shared" si="1"/>
        <v>435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selection activeCell="B25" sqref="B25"/>
    </sheetView>
  </sheetViews>
  <sheetFormatPr defaultRowHeight="14.25"/>
  <cols>
    <col min="2" max="2" width="67.125" bestFit="1" customWidth="1"/>
    <col min="3" max="3" width="3.375" customWidth="1"/>
    <col min="5" max="5" width="4.625" customWidth="1"/>
    <col min="7" max="7" width="4.375" customWidth="1"/>
    <col min="9" max="9" width="4.625" customWidth="1"/>
    <col min="11" max="11" width="4.875" customWidth="1"/>
    <col min="13" max="13" width="4.875" customWidth="1"/>
  </cols>
  <sheetData>
    <row r="1" spans="1:11">
      <c r="A1" t="s">
        <v>5</v>
      </c>
      <c r="C1" s="1"/>
      <c r="G1" t="s">
        <v>9</v>
      </c>
      <c r="I1" t="s">
        <v>10</v>
      </c>
      <c r="K1" t="s">
        <v>11</v>
      </c>
    </row>
    <row r="2" spans="1:11">
      <c r="C2" s="1"/>
    </row>
    <row r="3" spans="1:11">
      <c r="A3" t="s">
        <v>0</v>
      </c>
      <c r="C3" s="1"/>
    </row>
    <row r="4" spans="1:11">
      <c r="C4" s="1"/>
    </row>
    <row r="5" spans="1:11">
      <c r="A5">
        <v>1</v>
      </c>
      <c r="B5" s="2" t="s">
        <v>139</v>
      </c>
      <c r="C5" s="1"/>
    </row>
    <row r="6" spans="1:11">
      <c r="A6">
        <v>2</v>
      </c>
      <c r="B6" t="s">
        <v>83</v>
      </c>
      <c r="C6" s="1"/>
    </row>
    <row r="7" spans="1:11">
      <c r="A7">
        <v>3</v>
      </c>
      <c r="B7" t="s">
        <v>89</v>
      </c>
      <c r="C7" s="1"/>
    </row>
    <row r="8" spans="1:11">
      <c r="A8">
        <v>4</v>
      </c>
      <c r="B8" t="s">
        <v>106</v>
      </c>
      <c r="C8" s="1"/>
    </row>
    <row r="9" spans="1:11">
      <c r="A9">
        <v>5</v>
      </c>
      <c r="B9" t="s">
        <v>90</v>
      </c>
      <c r="C9" s="1"/>
    </row>
    <row r="10" spans="1:11">
      <c r="A10">
        <v>6</v>
      </c>
      <c r="B10" t="s">
        <v>91</v>
      </c>
      <c r="C10" s="1"/>
    </row>
    <row r="11" spans="1:11">
      <c r="A11">
        <v>7</v>
      </c>
      <c r="B11" t="s">
        <v>101</v>
      </c>
      <c r="C11" s="1"/>
    </row>
    <row r="12" spans="1:11">
      <c r="A12">
        <v>8</v>
      </c>
      <c r="B12" t="s">
        <v>112</v>
      </c>
      <c r="C12" s="1"/>
    </row>
    <row r="13" spans="1:11">
      <c r="C13" s="1"/>
    </row>
    <row r="14" spans="1:11">
      <c r="A14">
        <v>9</v>
      </c>
      <c r="B14" t="s">
        <v>109</v>
      </c>
      <c r="C14" s="1"/>
    </row>
    <row r="15" spans="1:11">
      <c r="A15">
        <v>10</v>
      </c>
      <c r="B15" t="s">
        <v>88</v>
      </c>
      <c r="C15" s="1"/>
    </row>
    <row r="16" spans="1:11">
      <c r="A16">
        <v>11</v>
      </c>
      <c r="B16" t="s">
        <v>95</v>
      </c>
      <c r="C16" s="1"/>
    </row>
    <row r="17" spans="1:3">
      <c r="A17">
        <v>12</v>
      </c>
      <c r="B17" t="s">
        <v>86</v>
      </c>
      <c r="C17" s="1"/>
    </row>
    <row r="18" spans="1:3">
      <c r="A18">
        <v>13</v>
      </c>
      <c r="B18" t="s">
        <v>85</v>
      </c>
      <c r="C18" s="1"/>
    </row>
    <row r="19" spans="1:3">
      <c r="A19">
        <v>14</v>
      </c>
      <c r="B19" t="s">
        <v>84</v>
      </c>
      <c r="C19" s="1"/>
    </row>
    <row r="20" spans="1:3">
      <c r="A20">
        <v>15</v>
      </c>
      <c r="B20" t="s">
        <v>87</v>
      </c>
      <c r="C20" s="1"/>
    </row>
    <row r="21" spans="1:3">
      <c r="A21">
        <v>16</v>
      </c>
      <c r="B21" t="s">
        <v>108</v>
      </c>
      <c r="C21" s="1"/>
    </row>
    <row r="22" spans="1:3">
      <c r="C22" s="1"/>
    </row>
    <row r="23" spans="1:3">
      <c r="A23" t="s">
        <v>2</v>
      </c>
    </row>
    <row r="25" spans="1:3">
      <c r="A25">
        <v>17</v>
      </c>
      <c r="B25" t="s">
        <v>111</v>
      </c>
      <c r="C25" s="1"/>
    </row>
    <row r="26" spans="1:3">
      <c r="A26">
        <v>18</v>
      </c>
      <c r="B26" t="s">
        <v>92</v>
      </c>
      <c r="C26" s="1"/>
    </row>
    <row r="27" spans="1:3">
      <c r="A27">
        <v>19</v>
      </c>
      <c r="B27" t="s">
        <v>97</v>
      </c>
      <c r="C27" s="1"/>
    </row>
    <row r="28" spans="1:3">
      <c r="A28">
        <v>20</v>
      </c>
      <c r="B28" t="s">
        <v>96</v>
      </c>
      <c r="C28" s="1"/>
    </row>
    <row r="29" spans="1:3">
      <c r="A29">
        <v>21</v>
      </c>
      <c r="B29" t="s">
        <v>105</v>
      </c>
      <c r="C29" s="1"/>
    </row>
    <row r="30" spans="1:3">
      <c r="A30">
        <v>22</v>
      </c>
      <c r="B30" t="s">
        <v>94</v>
      </c>
      <c r="C30" s="1"/>
    </row>
    <row r="31" spans="1:3">
      <c r="A31">
        <v>23</v>
      </c>
      <c r="B31" t="s">
        <v>137</v>
      </c>
      <c r="C31" s="1"/>
    </row>
    <row r="32" spans="1:3">
      <c r="A32">
        <v>24</v>
      </c>
      <c r="B32" t="s">
        <v>110</v>
      </c>
      <c r="C32" s="1"/>
    </row>
    <row r="34" spans="1:3">
      <c r="A34">
        <v>25</v>
      </c>
      <c r="B34" t="s">
        <v>103</v>
      </c>
      <c r="C34" s="1"/>
    </row>
    <row r="35" spans="1:3">
      <c r="A35">
        <v>26</v>
      </c>
      <c r="B35" t="s">
        <v>99</v>
      </c>
      <c r="C35" s="1"/>
    </row>
    <row r="36" spans="1:3">
      <c r="A36">
        <v>27</v>
      </c>
      <c r="B36" t="s">
        <v>98</v>
      </c>
      <c r="C36" s="1"/>
    </row>
    <row r="37" spans="1:3">
      <c r="A37">
        <v>28</v>
      </c>
      <c r="B37" t="s">
        <v>100</v>
      </c>
      <c r="C37" s="1"/>
    </row>
    <row r="38" spans="1:3">
      <c r="A38">
        <v>29</v>
      </c>
      <c r="B38" t="s">
        <v>102</v>
      </c>
      <c r="C38" s="1"/>
    </row>
    <row r="39" spans="1:3">
      <c r="A39">
        <v>30</v>
      </c>
      <c r="B39" t="s">
        <v>104</v>
      </c>
      <c r="C39" s="1"/>
    </row>
    <row r="40" spans="1:3">
      <c r="A40">
        <v>31</v>
      </c>
      <c r="B40" t="s">
        <v>93</v>
      </c>
      <c r="C40" s="1"/>
    </row>
    <row r="41" spans="1:3">
      <c r="A41">
        <v>32</v>
      </c>
      <c r="B41" t="s">
        <v>107</v>
      </c>
      <c r="C41" s="1"/>
    </row>
    <row r="42" spans="1:3">
      <c r="C42" s="1"/>
    </row>
    <row r="45" spans="1:3">
      <c r="C45" s="1"/>
    </row>
    <row r="46" spans="1:3">
      <c r="C46" s="1"/>
    </row>
    <row r="47" spans="1:3">
      <c r="C47" s="1"/>
    </row>
    <row r="48" spans="1:3">
      <c r="C48" s="1"/>
    </row>
    <row r="49" spans="2:3">
      <c r="C49" s="1"/>
    </row>
    <row r="50" spans="2:3">
      <c r="B50" s="4"/>
      <c r="C50" s="1"/>
    </row>
    <row r="51" spans="2:3">
      <c r="C51" s="1"/>
    </row>
    <row r="52" spans="2:3">
      <c r="C52" s="1"/>
    </row>
    <row r="53" spans="2:3">
      <c r="C53" s="1"/>
    </row>
    <row r="54" spans="2:3">
      <c r="C54" s="1"/>
    </row>
    <row r="55" spans="2:3">
      <c r="C55" s="1"/>
    </row>
    <row r="56" spans="2:3">
      <c r="C56" s="1"/>
    </row>
    <row r="57" spans="2:3">
      <c r="C57" s="1"/>
    </row>
    <row r="58" spans="2:3">
      <c r="C58" s="1"/>
    </row>
    <row r="59" spans="2:3">
      <c r="C59" s="1"/>
    </row>
    <row r="60" spans="2:3">
      <c r="C60" s="1"/>
    </row>
    <row r="61" spans="2:3">
      <c r="C61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2:3">
      <c r="B81" s="4"/>
      <c r="C81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5" sqref="B5"/>
    </sheetView>
  </sheetViews>
  <sheetFormatPr defaultRowHeight="14.25"/>
  <cols>
    <col min="2" max="2" width="68.375" bestFit="1" customWidth="1"/>
    <col min="3" max="3" width="3.125" customWidth="1"/>
    <col min="5" max="5" width="4.25" customWidth="1"/>
    <col min="7" max="7" width="4.125" customWidth="1"/>
    <col min="9" max="9" width="4.125" customWidth="1"/>
  </cols>
  <sheetData>
    <row r="1" spans="1:7">
      <c r="A1" t="s">
        <v>6</v>
      </c>
      <c r="C1" t="s">
        <v>9</v>
      </c>
      <c r="E1" t="s">
        <v>10</v>
      </c>
      <c r="G1" t="s">
        <v>12</v>
      </c>
    </row>
    <row r="2" spans="1:7">
      <c r="C2" s="1"/>
    </row>
    <row r="3" spans="1:7">
      <c r="A3" t="s">
        <v>0</v>
      </c>
      <c r="C3" s="1"/>
    </row>
    <row r="4" spans="1:7">
      <c r="C4" s="1"/>
    </row>
    <row r="5" spans="1:7">
      <c r="A5">
        <v>1</v>
      </c>
      <c r="B5" t="s">
        <v>81</v>
      </c>
      <c r="C5" s="1"/>
    </row>
    <row r="6" spans="1:7">
      <c r="A6">
        <v>2</v>
      </c>
      <c r="B6" t="s">
        <v>138</v>
      </c>
      <c r="C6" s="1"/>
    </row>
    <row r="7" spans="1:7">
      <c r="A7">
        <v>3</v>
      </c>
      <c r="B7" t="s">
        <v>80</v>
      </c>
      <c r="C7" s="1"/>
    </row>
    <row r="8" spans="1:7" ht="28.5">
      <c r="A8">
        <v>4</v>
      </c>
      <c r="B8" s="15" t="s">
        <v>149</v>
      </c>
      <c r="C8" s="1"/>
    </row>
    <row r="9" spans="1:7">
      <c r="A9">
        <v>5</v>
      </c>
      <c r="B9" t="s">
        <v>77</v>
      </c>
      <c r="C9" s="1"/>
    </row>
    <row r="10" spans="1:7">
      <c r="A10">
        <v>6</v>
      </c>
      <c r="B10" t="s">
        <v>79</v>
      </c>
      <c r="C10" s="1"/>
    </row>
    <row r="11" spans="1:7">
      <c r="A11">
        <v>7</v>
      </c>
      <c r="B11" t="s">
        <v>78</v>
      </c>
      <c r="C11" s="1"/>
    </row>
    <row r="12" spans="1:7">
      <c r="A12">
        <v>8</v>
      </c>
      <c r="B12" t="s">
        <v>82</v>
      </c>
      <c r="C12" s="1"/>
    </row>
    <row r="13" spans="1:7">
      <c r="C13" s="1"/>
    </row>
    <row r="16" spans="1:7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B16" sqref="B16"/>
    </sheetView>
  </sheetViews>
  <sheetFormatPr defaultRowHeight="14.25"/>
  <cols>
    <col min="2" max="2" width="34.25" bestFit="1" customWidth="1"/>
    <col min="3" max="3" width="3.125" customWidth="1"/>
    <col min="5" max="5" width="4.25" customWidth="1"/>
    <col min="7" max="7" width="4.125" customWidth="1"/>
    <col min="9" max="9" width="4.125" customWidth="1"/>
  </cols>
  <sheetData>
    <row r="1" spans="1:8">
      <c r="A1" t="s">
        <v>7</v>
      </c>
      <c r="C1" s="1" t="s">
        <v>9</v>
      </c>
      <c r="E1" t="s">
        <v>10</v>
      </c>
      <c r="G1" t="s">
        <v>12</v>
      </c>
    </row>
    <row r="2" spans="1:8">
      <c r="C2" s="1"/>
    </row>
    <row r="3" spans="1:8">
      <c r="A3" t="s">
        <v>0</v>
      </c>
      <c r="C3" s="1"/>
    </row>
    <row r="4" spans="1:8">
      <c r="C4" s="1"/>
    </row>
    <row r="5" spans="1:8">
      <c r="A5">
        <v>1</v>
      </c>
      <c r="B5" t="s">
        <v>1</v>
      </c>
      <c r="C5" s="1"/>
    </row>
    <row r="6" spans="1:8">
      <c r="A6">
        <v>2</v>
      </c>
      <c r="B6" t="s">
        <v>69</v>
      </c>
      <c r="C6" s="1"/>
      <c r="H6" t="s">
        <v>69</v>
      </c>
    </row>
    <row r="7" spans="1:8">
      <c r="A7">
        <v>3</v>
      </c>
      <c r="B7" t="s">
        <v>71</v>
      </c>
      <c r="C7" s="1"/>
    </row>
    <row r="8" spans="1:8">
      <c r="A8">
        <v>4</v>
      </c>
      <c r="B8" t="s">
        <v>72</v>
      </c>
      <c r="C8" s="1"/>
    </row>
    <row r="9" spans="1:8">
      <c r="A9">
        <v>5</v>
      </c>
      <c r="B9" t="s">
        <v>73</v>
      </c>
      <c r="C9" s="1"/>
    </row>
    <row r="10" spans="1:8">
      <c r="A10">
        <v>6</v>
      </c>
      <c r="B10" t="s">
        <v>68</v>
      </c>
      <c r="C10" s="1"/>
      <c r="H10" t="s">
        <v>70</v>
      </c>
    </row>
    <row r="11" spans="1:8">
      <c r="A11">
        <v>7</v>
      </c>
      <c r="B11" t="s">
        <v>1</v>
      </c>
      <c r="C11" s="1"/>
    </row>
    <row r="12" spans="1:8">
      <c r="A12">
        <v>8</v>
      </c>
      <c r="B12" t="s">
        <v>70</v>
      </c>
      <c r="C12" s="1"/>
    </row>
    <row r="13" spans="1:8">
      <c r="C13" s="1"/>
    </row>
    <row r="14" spans="1:8">
      <c r="A14" s="4"/>
      <c r="C14" s="4"/>
      <c r="D14" s="4"/>
      <c r="E14" s="4"/>
      <c r="F14" s="4"/>
      <c r="G14" s="4"/>
    </row>
    <row r="15" spans="1:8">
      <c r="A15" s="4"/>
      <c r="C15" s="4"/>
      <c r="D15" s="4"/>
      <c r="E15" s="4"/>
      <c r="F15" s="4"/>
      <c r="G15" s="4"/>
    </row>
    <row r="16" spans="1:8">
      <c r="A16" s="4"/>
      <c r="B16" s="4"/>
      <c r="C16" s="5"/>
      <c r="D16" s="4"/>
      <c r="E16" s="4"/>
      <c r="F16" s="4"/>
      <c r="G16" s="4"/>
    </row>
    <row r="17" spans="1:7">
      <c r="A17" s="4"/>
      <c r="B17" s="4"/>
      <c r="C17" s="5"/>
      <c r="D17" s="4"/>
      <c r="E17" s="4"/>
      <c r="F17" s="4"/>
      <c r="G17" s="4"/>
    </row>
    <row r="18" spans="1:7">
      <c r="A18" s="4"/>
      <c r="B18" s="4"/>
      <c r="C18" s="5"/>
      <c r="D18" s="4"/>
      <c r="E18" s="4"/>
      <c r="F18" s="4"/>
      <c r="G18" s="4"/>
    </row>
    <row r="19" spans="1:7">
      <c r="A19" s="4"/>
      <c r="B19" s="4"/>
      <c r="C19" s="5"/>
      <c r="D19" s="4"/>
      <c r="E19" s="4"/>
      <c r="F19" s="4"/>
      <c r="G19" s="4"/>
    </row>
    <row r="20" spans="1:7">
      <c r="A20" s="4"/>
      <c r="B20" s="4"/>
      <c r="C20" s="5"/>
      <c r="D20" s="4"/>
      <c r="E20" s="4"/>
      <c r="F20" s="4"/>
      <c r="G20" s="4"/>
    </row>
    <row r="21" spans="1:7">
      <c r="A21" s="4"/>
      <c r="B21" s="4"/>
      <c r="C21" s="5"/>
      <c r="D21" s="4"/>
      <c r="E21" s="4"/>
      <c r="F21" s="4"/>
      <c r="G21" s="4"/>
    </row>
    <row r="22" spans="1:7">
      <c r="A22" s="4"/>
      <c r="B22" s="4"/>
      <c r="C22" s="5"/>
      <c r="D22" s="4"/>
      <c r="E22" s="4"/>
      <c r="F22" s="4"/>
      <c r="G22" s="4"/>
    </row>
    <row r="23" spans="1:7">
      <c r="A23" s="4"/>
      <c r="B23" s="4"/>
      <c r="C23" s="5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28" sqref="B28"/>
    </sheetView>
  </sheetViews>
  <sheetFormatPr defaultRowHeight="14.25"/>
  <cols>
    <col min="2" max="2" width="64" bestFit="1" customWidth="1"/>
    <col min="3" max="3" width="3.625" customWidth="1"/>
  </cols>
  <sheetData>
    <row r="1" spans="1:5">
      <c r="A1" t="s">
        <v>8</v>
      </c>
      <c r="C1" s="1" t="s">
        <v>10</v>
      </c>
      <c r="E1" t="s">
        <v>11</v>
      </c>
    </row>
    <row r="2" spans="1:5">
      <c r="C2" s="1"/>
    </row>
    <row r="3" spans="1:5">
      <c r="A3" t="s">
        <v>0</v>
      </c>
      <c r="C3" s="1"/>
    </row>
    <row r="4" spans="1:5">
      <c r="C4" s="1"/>
    </row>
    <row r="5" spans="1:5">
      <c r="A5">
        <v>1</v>
      </c>
      <c r="B5" t="s">
        <v>74</v>
      </c>
      <c r="C5" s="1"/>
    </row>
    <row r="6" spans="1:5">
      <c r="A6">
        <v>2</v>
      </c>
      <c r="B6" t="s">
        <v>76</v>
      </c>
      <c r="C6" s="1"/>
    </row>
    <row r="7" spans="1:5">
      <c r="A7">
        <v>3</v>
      </c>
      <c r="B7" t="s">
        <v>76</v>
      </c>
      <c r="C7" s="1"/>
    </row>
    <row r="8" spans="1:5">
      <c r="A8">
        <v>4</v>
      </c>
      <c r="B8" t="s">
        <v>75</v>
      </c>
      <c r="C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</vt:lpstr>
      <vt:lpstr>Sheet1</vt:lpstr>
      <vt:lpstr>MD</vt:lpstr>
      <vt:lpstr>Mixed</vt:lpstr>
      <vt:lpstr>WS</vt:lpstr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Ratish Mohan</dc:creator>
  <cp:lastModifiedBy>Ashish Dattatraya Doke</cp:lastModifiedBy>
  <dcterms:created xsi:type="dcterms:W3CDTF">2024-06-10T07:18:24Z</dcterms:created>
  <dcterms:modified xsi:type="dcterms:W3CDTF">2025-06-10T07:13:37Z</dcterms:modified>
</cp:coreProperties>
</file>